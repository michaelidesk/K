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se 1 - As Given" sheetId="2" state="visible" r:id="rId4"/>
    <sheet name="Case 2 - As Understoo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<sst xmlns="http://schemas.openxmlformats.org/spreadsheetml/2006/main" count="440" uniqueCount="325">
  <si>
    <t xml:space="preserve">instrAction - two cases, every line, one workbook</t>
  </si>
  <si>
    <t xml:space="preserve">Expanded version of the two-case model of 04-08-2026. Case 1 = the sponsors' business plan of 17-07-2026 with EVERY line of their model on one page, to the 2029 returns. Case 2 = the company as we understand it after diligence and the management discussion of 04-08-2026, same depth. EUR m throughout.</t>
  </si>
  <si>
    <t xml:space="preserve">HOW TO READ THIS FILE</t>
  </si>
  <si>
    <t xml:space="preserve">BLUE figures are plugged from the sponsors' plan unchanged.  RED figures are our additions - each carries its rationale alongside.  Black figures are calculations.</t>
  </si>
  <si>
    <t xml:space="preserve">Each case sheet reads top to bottom as one argument: model controls &gt; product economics &gt; every revenue line &gt; P&amp;L &gt; cash flow &gt; balance sheet &gt; the 2029 exit waterfall and the return on the EUR 2m.</t>
  </si>
  <si>
    <t xml:space="preserve">HEADLINE COMPARISON</t>
  </si>
  <si>
    <t xml:space="preserve">Case 1 - as given</t>
  </si>
  <si>
    <t xml:space="preserve">Case 2 - as understood</t>
  </si>
  <si>
    <t xml:space="preserve">Difference</t>
  </si>
  <si>
    <t xml:space="preserve">Notes</t>
  </si>
  <si>
    <t xml:space="preserve">Revenue 2026 H2</t>
  </si>
  <si>
    <t xml:space="preserve">Their four layers vs our three tracks.</t>
  </si>
  <si>
    <t xml:space="preserve">Revenue 2027</t>
  </si>
  <si>
    <t xml:space="preserve">Revenue 2028</t>
  </si>
  <si>
    <t xml:space="preserve">Revenue 2029</t>
  </si>
  <si>
    <t xml:space="preserve">EBITDA 2028</t>
  </si>
  <si>
    <t xml:space="preserve">Their profitability year vs our still-negative year - findings 1 and 2 in money.</t>
  </si>
  <si>
    <t xml:space="preserve">EBITDA 2029</t>
  </si>
  <si>
    <t xml:space="preserve">Lowest year-end cash</t>
  </si>
  <si>
    <t xml:space="preserve">Case 2 stays positive only because of the assumed 2027 top-up.</t>
  </si>
  <si>
    <t xml:space="preserve">External equity required 2026-29</t>
  </si>
  <si>
    <t xml:space="preserve">Their single EUR 4m close vs EUR 4m + the EUR 5m top-up their plan does not mention.</t>
  </si>
  <si>
    <t xml:space="preserve">Certification budget carried</t>
  </si>
  <si>
    <t xml:space="preserve">Finding 1 - zero in their use of funds; itemised on Case 2, section D.</t>
  </si>
  <si>
    <t xml:space="preserve">Exit equity value 2029 (base, 5.0x revenue)</t>
  </si>
  <si>
    <t xml:space="preserve">EUR 2m fully diluted share at exit</t>
  </si>
  <si>
    <t xml:space="preserve">Dilution x0.8 from the top-up round.</t>
  </si>
  <si>
    <t xml:space="preserve">EUR 2m participation - proceeds</t>
  </si>
  <si>
    <t xml:space="preserve">EUR 2m participation - multiple</t>
  </si>
  <si>
    <t xml:space="preserve">EUR 2m participation - IRR (3 yrs)</t>
  </si>
  <si>
    <t xml:space="preserve">SENSITIVITY - EUR 2m MULTIPLE OF MONEY BY EXIT EQUITY VALUE</t>
  </si>
  <si>
    <t xml:space="preserve">Exit equity value (EUR m)</t>
  </si>
  <si>
    <t xml:space="preserve">The 1x preference floors the downside below c.EUR 22m exits.</t>
  </si>
  <si>
    <t xml:space="preserve">The base the 1-pagers argue for - clears hurdles in both cases.</t>
  </si>
  <si>
    <t xml:space="preserve">A strategic contest (Xylem / Veolia class) over a certified, contracted asset.</t>
  </si>
  <si>
    <t xml:space="preserve">OUR FINDINGS IN FIVE LINES (detail: Case 2, section A)</t>
  </si>
  <si>
    <t xml:space="preserve">1.  No certification budget in the use of funds - yet the utility track and the exit multiple depend on starting it now (EUR 2.2m, itemised).</t>
  </si>
  <si>
    <t xml:space="preserve">2.  Frameworks are 12-month tests - volume and price only from c.Oct-27, which breaks 'profitable in 18-24 months' and forces a EUR 5m top-up in 2027.</t>
  </si>
  <si>
    <t xml:space="preserve">3.  AFFF is project revenue in a closing window (2030) - the recurring story behind the EUR 15m pre-money is the certification-gated utility track.</t>
  </si>
  <si>
    <t xml:space="preserve">4.  Destruction-only disposal for POP-loaded resin - contract it before volumes start; no regeneration revenue on Track 1.</t>
  </si>
  <si>
    <t xml:space="preserve">5.  The historic preference stack (c.EUR 12m of down rounds) is preserved in the term sheet - worth c.EUR 1m to us at mid exits; settle it in the documents.</t>
  </si>
  <si>
    <t xml:space="preserve">THE DIFFERENCE BETWEEN THE TWO CASES, IN ONE SENTENCE</t>
  </si>
  <si>
    <t xml:space="preserve">One year of commercial timing, EUR 2.2m of certification money the plan does not carry, a EUR 5m top-up round the plan does not mention - and the dilution that comes with it.</t>
  </si>
  <si>
    <t xml:space="preserve">Working model for discussion - not investment advice. Sources: business plan model and term sheet 17-07-2026 (all Case-1 lines transcribed from the model's Revenue Inputs and dashboard); management call 04-08-2026; Programme workbook and funding assessment 31-07-2026; Pyrum public record 2018-2026.</t>
  </si>
  <si>
    <t xml:space="preserve">Case 1 - the business plan as given (17-07-2026) - expanded to every line of their model</t>
  </si>
  <si>
    <t xml:space="preserve">One page: their model controls, product economics, all revenue lines, P&amp;L, cash flow, balance sheet - leading to the 2029 exit waterfall and returns. BLUE = their figures unchanged. EUR m unless marked EUR k.</t>
  </si>
  <si>
    <t xml:space="preserve">STAGES ON THE PLAN'S TIMELINE</t>
  </si>
  <si>
    <t xml:space="preserve">2026 H2</t>
  </si>
  <si>
    <t xml:space="preserve">2027</t>
  </si>
  <si>
    <t xml:space="preserve">2028</t>
  </si>
  <si>
    <t xml:space="preserve">2029</t>
  </si>
  <si>
    <t xml:space="preserve">2030 memo</t>
  </si>
  <si>
    <t xml:space="preserve">2031 memo</t>
  </si>
  <si>
    <t xml:space="preserve">Second close + ramp-up</t>
  </si>
  <si>
    <t xml:space="preserve">Scale-up year</t>
  </si>
  <si>
    <t xml:space="preserve">EBITDA turns positive</t>
  </si>
  <si>
    <t xml:space="preserve">Exit window (projected)</t>
  </si>
  <si>
    <t xml:space="preserve">(beyond their exit story)</t>
  </si>
  <si>
    <t xml:space="preserve">A.  THEIR MODEL CONTROLS AND SCENARIO SETTINGS (sheet 'Instructions &amp; Scenario')</t>
  </si>
  <si>
    <t xml:space="preserve">Active scenario</t>
  </si>
  <si>
    <t xml:space="preserve">Base</t>
  </si>
  <si>
    <t xml:space="preserve">Their model also carries Downside (pipeline x70%, top-down x60%, COGS x110%) and Upside (x130% / x150% / x95%) multiplier sets; everything below is the Base case they present.</t>
  </si>
  <si>
    <t xml:space="preserve">Probability weighting of named pipeline</t>
  </si>
  <si>
    <t xml:space="preserve">Yes</t>
  </si>
  <si>
    <t xml:space="preserve">Named-pipeline rows enter revenue at their sales-stage probability; existing and contracted rows enter at 100%.</t>
  </si>
  <si>
    <t xml:space="preserve">Starting cash (01-Jul-26)</t>
  </si>
  <si>
    <t xml:space="preserve">EUR 0.35m opening cash - MIG's first EUR 1m of 2026 already inside.</t>
  </si>
  <si>
    <t xml:space="preserve">Planning grid</t>
  </si>
  <si>
    <t xml:space="preserve">monthly</t>
  </si>
  <si>
    <t xml:space="preserve">30 monthly periods Jul-26 to Dec-28, then semi-annual to 2031. Annualised on this page.</t>
  </si>
  <si>
    <t xml:space="preserve">Default annual price increase / COGS improvement</t>
  </si>
  <si>
    <t xml:space="preserve">Applied to unit-priced products; top-down segment targets are entered as direct EUR revenue.</t>
  </si>
  <si>
    <t xml:space="preserve">B.  PRODUCT ECONOMICS - THEIR FULL PRICE AND COGS TABLE</t>
  </si>
  <si>
    <t xml:space="preserve">Product (ID - group)</t>
  </si>
  <si>
    <t xml:space="preserve">Unit</t>
  </si>
  <si>
    <t xml:space="preserve">Std price EUR</t>
  </si>
  <si>
    <t xml:space="preserve">COGS EUR</t>
  </si>
  <si>
    <t xml:space="preserve">COGS %</t>
  </si>
  <si>
    <t xml:space="preserve">Gross margin</t>
  </si>
  <si>
    <t xml:space="preserve">Type</t>
  </si>
  <si>
    <t xml:space="preserve">PFAS-BULK - PFAS resin bulk</t>
  </si>
  <si>
    <t xml:space="preserve">Liter</t>
  </si>
  <si>
    <t xml:space="preserve">Recurring</t>
  </si>
  <si>
    <t xml:space="preserve">Carries the two System-Integrator / Water-Utility segments - the volume story.</t>
  </si>
  <si>
    <t xml:space="preserve">PFAS-FILTER - filter / cartridge</t>
  </si>
  <si>
    <t xml:space="preserve">Carries the NA AFFF segment, the OEM segment and two named rows.</t>
  </si>
  <si>
    <t xml:space="preserve">PILOT - pilot equipment / MTU</t>
  </si>
  <si>
    <t xml:space="preserve">Project</t>
  </si>
  <si>
    <t xml:space="preserve">One-off</t>
  </si>
  <si>
    <t xml:space="preserve">Carries the EU AFFF (MTU) segment and three named rows; thinnest margin in the book.</t>
  </si>
  <si>
    <t xml:space="preserve">MTU - MTU operational</t>
  </si>
  <si>
    <t xml:space="preserve">Defined but unused by any revenue line in the Base case.</t>
  </si>
  <si>
    <t xml:space="preserve">HMR - heavy metal resin</t>
  </si>
  <si>
    <t xml:space="preserve">Defined but unused - no revenue line attached.</t>
  </si>
  <si>
    <t xml:space="preserve">POU-MEDIA - point-of-use / OEM media</t>
  </si>
  <si>
    <t xml:space="preserve">Carries the EU PoU/PoE segment.</t>
  </si>
  <si>
    <t xml:space="preserve">ANALYTICS - analytics / services</t>
  </si>
  <si>
    <t xml:space="preserve">Defined but unused.</t>
  </si>
  <si>
    <t xml:space="preserve">ADVISORY - consulting services</t>
  </si>
  <si>
    <t xml:space="preserve">LICENSE - license / milestone</t>
  </si>
  <si>
    <t xml:space="preserve">Contract</t>
  </si>
  <si>
    <t xml:space="preserve">Defined but unused - no licensing revenue anywhere in the plan.</t>
  </si>
  <si>
    <t xml:space="preserve">REGEN - regeneration / exchange service</t>
  </si>
  <si>
    <t xml:space="preserve">Service</t>
  </si>
  <si>
    <t xml:space="preserve">Defined but unused in the Base case - and the POP destruction constraint challenges it (see Case 2, finding 4).</t>
  </si>
  <si>
    <t xml:space="preserve">Six of ten products carry no revenue in the Base case - the plan runs on four: PILOT, PFAS-FILTER, PFAS-BULK, POU-MEDIA.</t>
  </si>
  <si>
    <t xml:space="preserve">C.  THEIR SALES-STAGE PROBABILITY LADDER</t>
  </si>
  <si>
    <t xml:space="preserve">Sales stage</t>
  </si>
  <si>
    <t xml:space="preserve">Probability</t>
  </si>
  <si>
    <t xml:space="preserve">Definition (theirs, verbatim)</t>
  </si>
  <si>
    <t xml:space="preserve">Contracted / PO</t>
  </si>
  <si>
    <t xml:space="preserve">Signed contract or purchase order received</t>
  </si>
  <si>
    <t xml:space="preserve">Awarded</t>
  </si>
  <si>
    <t xml:space="preserve">Customer has made a clear decision in principle</t>
  </si>
  <si>
    <t xml:space="preserve">Contract Negotiation</t>
  </si>
  <si>
    <t xml:space="preserve">Contract terms are being negotiated</t>
  </si>
  <si>
    <t xml:space="preserve">Commercial Proposal</t>
  </si>
  <si>
    <t xml:space="preserve">Formal commercial proposal submitted</t>
  </si>
  <si>
    <t xml:space="preserve">Qualified Pilot</t>
  </si>
  <si>
    <t xml:space="preserve">Specific pilot with a defined decision path</t>
  </si>
  <si>
    <t xml:space="preserve">Early Discussion</t>
  </si>
  <si>
    <t xml:space="preserve">Initial customer discussion</t>
  </si>
  <si>
    <t xml:space="preserve">Unidentified</t>
  </si>
  <si>
    <t xml:space="preserve">n/a</t>
  </si>
  <si>
    <t xml:space="preserve">No named customer yet - enters revenue at 100% of the segment target, unweighted</t>
  </si>
  <si>
    <t xml:space="preserve">The asymmetry to note: a named customer at first discussion counts at 10% - a target segment with NO customer at all counts at 100%.</t>
  </si>
  <si>
    <t xml:space="preserve">D.  THE REVENUE BUILD-UP - EVERY LINE IN THEIR MODEL (EUR k, as they enter the P&amp;L)</t>
  </si>
  <si>
    <t xml:space="preserve">EUR k</t>
  </si>
  <si>
    <t xml:space="preserve">Named customers - bottom-up (probability-weighted values, i.e. what their model books):</t>
  </si>
  <si>
    <t xml:space="preserve">REV-001  Existing - pilot equipment (Awarded, 90%)</t>
  </si>
  <si>
    <t xml:space="preserve">'Accumulated existing pipeline', PILOT product. EUR 8k Jul-26 + 5k Aug + 22k Sep - all of it in three months of 2026.</t>
  </si>
  <si>
    <t xml:space="preserve">REV-002  Existing - filters (Awarded, 90%)</t>
  </si>
  <si>
    <t xml:space="preserve">PFAS-FILTER. EUR 2k each Jul / Sep / Oct-26.</t>
  </si>
  <si>
    <t xml:space="preserve">REV-003  Contracted - pilots (Contract Negotiation, 75%)</t>
  </si>
  <si>
    <t xml:space="preserve">PILOT. Runs Aug-26 to Mar-27 and then STOPS - their contracted book is empty from Apr-27 onward.</t>
  </si>
  <si>
    <t xml:space="preserve">REV-004  Named pipeline - filters (Early Discussion, 10%)</t>
  </si>
  <si>
    <t xml:space="preserve">Gross entries of EUR 1.33m booked at 10%: EUR 555k Jan-27, 265k Feb-27, 320k Mar-27 are the bulk - one cluster of early discussions.</t>
  </si>
  <si>
    <t xml:space="preserve">REV-005  Named pipeline - pilots (Early Discussion, 10%)</t>
  </si>
  <si>
    <t xml:space="preserve">Gross entries of EUR 0.73m booked at 10%: EUR 209k / 260k / 187k in Jan-Mar-27.</t>
  </si>
  <si>
    <t xml:space="preserve">Named customers - subtotal</t>
  </si>
  <si>
    <t xml:space="preserve">Everything with a name attached. It peaks at EUR 0.23m (2027) and is finished by early 2028.</t>
  </si>
  <si>
    <t xml:space="preserve">Top-down segment targets - no named customer behind any figure below (their own dashboard flags this):</t>
  </si>
  <si>
    <t xml:space="preserve">SEG-EU-IND  Europe - AFFF (MTU) - pilot equipment</t>
  </si>
  <si>
    <t xml:space="preserve">Ramps EUR 5k/month (Oct-26) to EUR 200k/month (end-28); then +5% per half-year. The AFFF servicing story, Europe.</t>
  </si>
  <si>
    <t xml:space="preserve">SEG-NA-IND  North America - AFFF (filters)</t>
  </si>
  <si>
    <t xml:space="preserve">PFAS-FILTER. Small, steady ramp; oddly DECLINES after an H1-29 spike of EUR 210k.</t>
  </si>
  <si>
    <t xml:space="preserve">SEG-EU-LAND  Europe - system integrators - bulk resin</t>
  </si>
  <si>
    <t xml:space="preserve">PFAS-BULK. Jumps EUR 50k to 150k/month at Jan-28 - the single biggest step in the whole plan, no trigger named.</t>
  </si>
  <si>
    <t xml:space="preserve">SEG-NA-LAND  North America - water utilities - bulk resin</t>
  </si>
  <si>
    <t xml:space="preserve">PFAS-BULK. Quarterly from Mar-27, EUR 150k/month through 2028 - assumes US municipal sales with NSF certification nowhere in the budget.</t>
  </si>
  <si>
    <t xml:space="preserve">SEG-EU-MUN  Europe - PoU / PoE - OEM media</t>
  </si>
  <si>
    <t xml:space="preserve">POU-MEDIA at EUR 12/unit - implies c.5m units/yr by 2028 via unnamed OEM channels.</t>
  </si>
  <si>
    <t xml:space="preserve">SEG-GLOBAL-OEM  Global - strategic industry partners</t>
  </si>
  <si>
    <t xml:space="preserve">PFAS-FILTER. Lumpy milestone-like entries, then EUR 1.8m (2029) to EUR 5m (2031) - by 2031 the largest single line; entirely unnamed.</t>
  </si>
  <si>
    <t xml:space="preserve">Top-down segments - subtotal</t>
  </si>
  <si>
    <t xml:space="preserve">70.8% of even the NEXT 12 MONTHS' revenue is from these unnamed segments - their model's own validation panel says so.</t>
  </si>
  <si>
    <t xml:space="preserve">Total revenue, all lines (EUR k)</t>
  </si>
  <si>
    <t xml:space="preserve">Their dashboard total (EUR k)</t>
  </si>
  <si>
    <t xml:space="preserve">The headline series their dashboard reports (EUR 0.21m / 2.17m / 6.86m / 8.02m / 10.53m / 13.09m).</t>
  </si>
  <si>
    <t xml:space="preserve">Check - line build-up vs their dashboard</t>
  </si>
  <si>
    <t xml:space="preserve">Differences of EUR 8k or less per year - rounding inside their 30 monthly columns. The transcription is complete.</t>
  </si>
  <si>
    <t xml:space="preserve">E.  P&amp;L - AS THEIR MODEL STATES IT</t>
  </si>
  <si>
    <t xml:space="preserve">EUR m</t>
  </si>
  <si>
    <t xml:space="preserve">Total revenue</t>
  </si>
  <si>
    <t xml:space="preserve">Their dashboard series, unchanged. 2030-31 shown for completeness - their exit story ends 2029.</t>
  </si>
  <si>
    <t xml:space="preserve">Cost of sales</t>
  </si>
  <si>
    <t xml:space="preserve">Blended from the product COGS table; 2030-31 derived from their stated gross profit.</t>
  </si>
  <si>
    <t xml:space="preserve">Gross profit</t>
  </si>
  <si>
    <t xml:space="preserve">Personnel</t>
  </si>
  <si>
    <t xml:space="preserve">Their cost plan to 2029; beyond 2029 their model reports only combined running costs.</t>
  </si>
  <si>
    <t xml:space="preserve">Other operating costs</t>
  </si>
  <si>
    <t xml:space="preserve">Derived so the P&amp;L reconciles exactly to their stated EBITDA - as in the source workbook.</t>
  </si>
  <si>
    <t xml:space="preserve">EBITDA</t>
  </si>
  <si>
    <t xml:space="preserve">Their stated operating result. Loss-making through 2027, positive from 2028 on their numbers.</t>
  </si>
  <si>
    <t xml:space="preserve">Running costs (personnel + other)</t>
  </si>
  <si>
    <t xml:space="preserve">2030-31: gross profit less their stated EBITDA (c.EUR 4.8m / 5.5m - matches the funding assessment).</t>
  </si>
  <si>
    <t xml:space="preserve">memo: depreciation</t>
  </si>
  <si>
    <t xml:space="preserve">Below-EBITDA memo, from their model.</t>
  </si>
  <si>
    <t xml:space="preserve">F.  CASH FLOW - AS THEIR MODEL STATES IT</t>
  </si>
  <si>
    <t xml:space="preserve">Equipment spend</t>
  </si>
  <si>
    <t xml:space="preserve">Small by design - resin produced by third parties; mobile units c.EUR 0.2-0.3m each.</t>
  </si>
  <si>
    <t xml:space="preserve">Change in working capital</t>
  </si>
  <si>
    <t xml:space="preserve">The plan models NO working capital at all - no inventory, no receivables. Flagged; corrected in Case 2.</t>
  </si>
  <si>
    <t xml:space="preserve">New equity raised</t>
  </si>
  <si>
    <t xml:space="preserve">EUR 4m second close Sep-26 (EUR 1m MIG + EUR 3m new investors) - and NOTHING after it, ever. The plan claims self-sufficiency from one round.</t>
  </si>
  <si>
    <t xml:space="preserve">Net cash flow</t>
  </si>
  <si>
    <t xml:space="preserve">Opening cash</t>
  </si>
  <si>
    <t xml:space="preserve">Closing cash</t>
  </si>
  <si>
    <t xml:space="preserve">Reconciles to their dashboard (1.16 in 2027 ... 3.74 in 2029 ... 9.89 in 2031). Their own monthly view briefly dips below zero in 2027.</t>
  </si>
  <si>
    <t xml:space="preserve">G.  BALANCE SHEET (year-end, simplified) - TO THE 2029 EXIT</t>
  </si>
  <si>
    <t xml:space="preserve">Cash</t>
  </si>
  <si>
    <t xml:space="preserve">Working capital</t>
  </si>
  <si>
    <t xml:space="preserve">Zero throughout - see the flag above.</t>
  </si>
  <si>
    <t xml:space="preserve">Fixed assets, net</t>
  </si>
  <si>
    <t xml:space="preserve">Total assets</t>
  </si>
  <si>
    <t xml:space="preserve">Equity (capital raised less accumulated losses)</t>
  </si>
  <si>
    <t xml:space="preserve">No debt anywhere in the plan - the whole balance sheet is equity-funded. Simplified single-line equity.</t>
  </si>
  <si>
    <t xml:space="preserve">H.  EXIT 2029 - CASH WATERFALL AND RETURNS (WHERE THE PAGE HAS BEEN LEADING)</t>
  </si>
  <si>
    <t xml:space="preserve">EV / revenue multiple at exit</t>
  </si>
  <si>
    <t xml:space="preserve">Trade-sale multiple on 2029 revenue - change it and everything below recalculates. The Summary sensitivity works from equity values directly.</t>
  </si>
  <si>
    <t xml:space="preserve">Enterprise value</t>
  </si>
  <si>
    <t xml:space="preserve">plus: cash at exit</t>
  </si>
  <si>
    <t xml:space="preserve">Equity value</t>
  </si>
  <si>
    <t xml:space="preserve">Investor class (fully diluted, post-VSOP)</t>
  </si>
  <si>
    <t xml:space="preserve">FD %</t>
  </si>
  <si>
    <t xml:space="preserve">Invested</t>
  </si>
  <si>
    <t xml:space="preserve">1x pref</t>
  </si>
  <si>
    <t xml:space="preserve">Proceeds</t>
  </si>
  <si>
    <t xml:space="preserve">Multiple</t>
  </si>
  <si>
    <t xml:space="preserve">MIG Funds (incl. EUR 2m of this round)</t>
  </si>
  <si>
    <t xml:space="preserve">Historic cost c.EUR 12m + EUR 2m now. Deck states historic preferences do not affect new money - taken at face value here; challenged in Case 2, finding 5.</t>
  </si>
  <si>
    <t xml:space="preserve">Other existing holders</t>
  </si>
  <si>
    <t xml:space="preserve">Treasury shares</t>
  </si>
  <si>
    <t xml:space="preserve">New co-investors 2026 (EUR 3m, incl. the EUR 2m assessed)</t>
  </si>
  <si>
    <t xml:space="preserve">1x non-participating, pari passu with MIG's 2026 money.</t>
  </si>
  <si>
    <t xml:space="preserve">VSOP (10%)</t>
  </si>
  <si>
    <t xml:space="preserve">Virtual options - participate economically at exit.</t>
  </si>
  <si>
    <t xml:space="preserve">Total distributed</t>
  </si>
  <si>
    <t xml:space="preserve">Approximation: each class takes the greater of preference or pro-rata; interactions ignored (immaterial when all classes convert).</t>
  </si>
  <si>
    <t xml:space="preserve">The EUR 2m participation - proceeds / multiple / IRR</t>
  </si>
  <si>
    <t xml:space="preserve">EUR 2m = two-thirds of the EUR 3m new-investor class. Proceeds, multiple of money and 3-year IRR at the base exit above.</t>
  </si>
  <si>
    <t xml:space="preserve">memo: EUR 2m fully diluted share</t>
  </si>
  <si>
    <t xml:space="preserve">c.9.5% FD - feeds the sensitivity on the Summary.</t>
  </si>
  <si>
    <t xml:space="preserve">All blue figures transcribed from the sponsors' model of 17-07-2026 (Base, probability-weighted) and its dashboard; FD percentages from the term sheet's illustrative capitalisation. This page IS their case - the argument with it lives in Case 2.</t>
  </si>
  <si>
    <t xml:space="preserve">Case 2 - the case as we understand it - expanded: findings, corrections, and what they do to the returns</t>
  </si>
  <si>
    <t xml:space="preserve">Same skeleton as Case 1. RED = our additions and corrections, each with its rationale. Staging follows the management discussion of 04-08-2026. EUR m unless marked.</t>
  </si>
  <si>
    <t xml:space="preserve">STAGES ON THE TIMELINE AS WE UNDERSTAND IT</t>
  </si>
  <si>
    <t xml:space="preserve">Framework year (partner tests)</t>
  </si>
  <si>
    <t xml:space="preserve">Top-up round + commercial agreements from Oct-27</t>
  </si>
  <si>
    <t xml:space="preserve">Certified utility entry</t>
  </si>
  <si>
    <t xml:space="preserve">Approach to profitability - exit window</t>
  </si>
  <si>
    <t xml:space="preserve">A.  OUR FINDINGS - THE FIVE GAPS BETWEEN THE STORY AND THE PAPER</t>
  </si>
  <si>
    <t xml:space="preserve">1.  No certification budget anywhere in the use of funds</t>
  </si>
  <si>
    <t xml:space="preserve">Case 1, sections B and D: the NA-utilities and OEM segments assume certified sales, yet not one euro of KTW/DVGW/NSF money appears in their costs. The utility track AND the exit multiple depend on starting now. We add the EUR 2.2m programme in section D below.</t>
  </si>
  <si>
    <t xml:space="preserve">2.  Frameworks are 12-month tests, not volume</t>
  </si>
  <si>
    <t xml:space="preserve">Partner frameworks effective c.Oct-26 are tests; volume and price commitments only from c.Oct-27. That strains 'profitable in 18-24 months' and makes a 2027 top-up likely - management half-conceded both on the call. We model the top-up in section F.</t>
  </si>
  <si>
    <t xml:space="preserve">3.  AFFF is project revenue in a closing window</t>
  </si>
  <si>
    <t xml:space="preserve">The 2030 EU foam-replacement deadline caps Track 1. The recurring story that justifies EUR 15m pre-money is the utility track - which is certification-gated (finding 1). Our revenue build in section C keeps the tracks separate so this is visible.</t>
  </si>
  <si>
    <t xml:space="preserve">4.  Destruction-only disposal for POP-loaded resin</t>
  </si>
  <si>
    <t xml:space="preserve">AFFF-loaded resin above POP thresholds may not be regenerated - it must be destroyed. Their REGEN product line (Case 1, section B) has no revenue attached in the Base case, rightly; a destruction contract must be priced before volumes start. Contracting cost sits in section D.</t>
  </si>
  <si>
    <t xml:space="preserve">5.  The historic preference stack is real</t>
  </si>
  <si>
    <t xml:space="preserve">MIG on the call: 'we did a lot of down rounds - we want our money'. The deck says new money is unaffected; the term sheet PRESERVES historic preferences (order EUR 12m). If they rank ahead at mid exits, converting holders lose c.40% of pro-rata proceeds - worth c.EUR 1m to us. See the waterfall memo in section H.</t>
  </si>
  <si>
    <t xml:space="preserve">B.  WHAT WE CHANGE VS THEIR MODEL (RED = OUR ASSUMPTION)</t>
  </si>
  <si>
    <t xml:space="preserve">Revenue: their four layers replaced by the three tracks</t>
  </si>
  <si>
    <t xml:space="preserve">see C</t>
  </si>
  <si>
    <t xml:space="preserve">Management's own strategy (04-08-2026): Track 1 AFFF partner channel, Track 2 certification-gated utilities, Track 3 integrators/bulk - Track 3 excluded from the base as 'not tangible enough' (their words), despite the Solenis US agreement in finalisation.</t>
  </si>
  <si>
    <t xml:space="preserve">60% gross margin early vs their c.72% at scale - partner-channel discounts and small batches.</t>
  </si>
  <si>
    <t xml:space="preserve">Running costs kept at c.90% of their plan</t>
  </si>
  <si>
    <t xml:space="preserve">Costs never fall as fast as revenue slips - benchmark evidence (Pyrum delivered 55-58% of guidance with signed customers).</t>
  </si>
  <si>
    <t xml:space="preserve">Working capital introduced</t>
  </si>
  <si>
    <t xml:space="preserve">15% of revenue - resin inventory and partner receivables, absent from their plan entirely (Case 1, section F).</t>
  </si>
  <si>
    <t xml:space="preserve">Certification + disposal programme added</t>
  </si>
  <si>
    <t xml:space="preserve">see D</t>
  </si>
  <si>
    <t xml:space="preserve">EUR 2.2m across 2026-29, itemised below - the money finding 1 says is missing.</t>
  </si>
  <si>
    <t xml:space="preserve">EUR 5m top-up round, 2027</t>
  </si>
  <si>
    <t xml:space="preserve">At an assumed EUR 20m pre-money after Track-1 proof; dilutes all pre-top-up holders x0.8. Finding 2.</t>
  </si>
  <si>
    <t xml:space="preserve">Exit multiple unchanged</t>
  </si>
  <si>
    <t xml:space="preserve">Same 5.0x revenue as Case 1 - arguably earned by then (certified product + commercial agreements) but on lower revenue.</t>
  </si>
  <si>
    <t xml:space="preserve">C.  REVENUE - THE THREE TRACKS AS MANAGEMENT DESCRIBED THEM (EUR m)</t>
  </si>
  <si>
    <t xml:space="preserve">Track 1 - AFFF partner channel</t>
  </si>
  <si>
    <t xml:space="preserve">Cornelsen (DE), AquaCorp (AUS), Amazon Filters (UK) - frameworks expected signed within weeks, effective c.Oct-26; 12-month tests, volume/price agreements from c.Oct-27; partners buy for stock. Scales into the 2030 replacement wave. CEO himself reset 2026 to EUR 0.25-0.35m.</t>
  </si>
  <si>
    <t xml:space="preserve">Track 2 - water utilities (certification-gated)</t>
  </si>
  <si>
    <t xml:space="preserve">First certified sales 2028 - the benchmark says 12-24 months per market; management's Q1/Q2-27 is the optimistic end. This is the recurring story behind the EUR 15m pre.</t>
  </si>
  <si>
    <t xml:space="preserve">Track 3 - integrators / bulk resin (excluded)</t>
  </si>
  <si>
    <t xml:space="preserve">Upside, not plan - management's own words; Solenis US agreement in finalisation. Becomes real after Track 1 proves volume manufacturing; revisit at the 2027 round.</t>
  </si>
  <si>
    <t xml:space="preserve">memo: their plan total (Case 1)</t>
  </si>
  <si>
    <t xml:space="preserve">Their EUR 6.86m in 2028 vs our EUR 3.00m - the gap is almost entirely the unnamed top-down segments of Case 1, section D.</t>
  </si>
  <si>
    <t xml:space="preserve">memo: revenue we do not underwrite</t>
  </si>
  <si>
    <t xml:space="preserve">D.  THE CERTIFICATION + DISPOSAL PROGRAMME - ITEMISED (EUR m; RED = OUR ESTIMATE)</t>
  </si>
  <si>
    <t xml:space="preserve">Germany: KTW-BWGL + DVGW W270 (resin + filter)</t>
  </si>
  <si>
    <t xml:space="preserve">Without these no German utility may buy, however well it works. 12-18 months.</t>
  </si>
  <si>
    <t xml:space="preserve">EU drinking-water positive lists / migration testing</t>
  </si>
  <si>
    <t xml:space="preserve">EU framework binding from 2026; national rules still apply per country.</t>
  </si>
  <si>
    <t xml:space="preserve">US: NSF/ANSI 61 + 53 (resin + cartridge family)</t>
  </si>
  <si>
    <t xml:space="preserve">The US equivalent - Case 1's NA-utilities segment is impossible without it.</t>
  </si>
  <si>
    <t xml:space="preserve">UK (DWI Reg 31) + France (ACS)</t>
  </si>
  <si>
    <t xml:space="preserve">Two further markets in their plan.</t>
  </si>
  <si>
    <t xml:space="preserve">Independent performance testing (lifetime, real water)</t>
  </si>
  <si>
    <t xml:space="preserve">The data a bank's - or an acquirer's - technical adviser reads first.</t>
  </si>
  <si>
    <t xml:space="preserve">Annual audits, retests and fees</t>
  </si>
  <si>
    <t xml:space="preserve">Approvals are a programme, not a certificate; fees continue while the product sells.</t>
  </si>
  <si>
    <t xml:space="preserve">Destruction-route contracting for POP-loaded resin</t>
  </si>
  <si>
    <t xml:space="preserve">Waste profile + priced contract (rotary-kiln incinerators DE/BE/FR - Indaver, Seche, Veolia; gate fees c.USD 2,300-5,000/t). A contracting task, not research. Finding 4.</t>
  </si>
  <si>
    <t xml:space="preserve">Certification + disposal - total</t>
  </si>
  <si>
    <t xml:space="preserve">EUR 2.2m over the window - re-phased from the Programme workbook of 31-07 (its full estimate EUR 2.3m incl. rolling fees beyond 2029). Feeds the P&amp;L below.</t>
  </si>
  <si>
    <t xml:space="preserve">E.  P&amp;L - THE SAME COMPANY UNDER OUR ASSUMPTIONS</t>
  </si>
  <si>
    <t xml:space="preserve">Cost of sales (40% of revenue)</t>
  </si>
  <si>
    <t xml:space="preserve">Personnel (c.90% of their plan)</t>
  </si>
  <si>
    <t xml:space="preserve">Other operating costs (c.90% of their plan)</t>
  </si>
  <si>
    <t xml:space="preserve">Cost factor from section B applied to their schedule - costs do not wait for the sales.</t>
  </si>
  <si>
    <t xml:space="preserve">Certification programme + disposal contracting</t>
  </si>
  <si>
    <t xml:space="preserve">Not profitable within 18-24 months on this build-up - profitability arrives c.2030, or late 2029 on a run-rate basis. Their claim: positive from 2028 (Case 1: +1.51).</t>
  </si>
  <si>
    <t xml:space="preserve">F.  CASH FLOW - AND THE TOP-UP ROUND THE PLAN DOES NOT MENTION</t>
  </si>
  <si>
    <t xml:space="preserve">Equipment spend (their schedule)</t>
  </si>
  <si>
    <t xml:space="preserve">Change in working capital (15% of revenue)</t>
  </si>
  <si>
    <t xml:space="preserve">EUR 4m second close as planned + the RED EUR 5m top-up in 2027 at an assumed EUR 20m pre-money after Track-1 proof. Finding 2.</t>
  </si>
  <si>
    <t xml:space="preserve">Stays positive ONLY because of the red top-up.</t>
  </si>
  <si>
    <t xml:space="preserve">memo: closing cash WITHOUT the top-up</t>
  </si>
  <si>
    <t xml:space="preserve">Remove the EUR 5m and the company is out of cash during 2028 - the number that makes finding 2 non-negotiable.</t>
  </si>
  <si>
    <t xml:space="preserve">G.  BALANCE SHEET (year-end, simplified)</t>
  </si>
  <si>
    <t xml:space="preserve">H.  EXIT 2029 - CASH WATERFALL AND RETURNS, POST TOP-UP DILUTION</t>
  </si>
  <si>
    <t xml:space="preserve">Investor class (FD, post-VSOP, post-top-up)</t>
  </si>
  <si>
    <t xml:space="preserve">Rationale</t>
  </si>
  <si>
    <t xml:space="preserve">Case-1 stake diluted x0.8 by the top-up round (no pro-rata assumed).</t>
  </si>
  <si>
    <t xml:space="preserve">Other existing holders + treasury</t>
  </si>
  <si>
    <t xml:space="preserve">14.2% diluted x0.8 - the EUR 2m participation becomes c.7.6% FD.</t>
  </si>
  <si>
    <t xml:space="preserve">Top-up investor 2027 (RED)</t>
  </si>
  <si>
    <t xml:space="preserve">Enters at EUR 20m pre after Track-1 proof - takes 20% and ranks pari passu or better.</t>
  </si>
  <si>
    <t xml:space="preserve">VSOP (8% post-top-up)</t>
  </si>
  <si>
    <t xml:space="preserve">Memo - the historic preference question</t>
  </si>
  <si>
    <t xml:space="preserve">Past down rounds imply a senior preference stack (order EUR 12m). The deck says new money is unaffected; the term sheet preserves historic preferences. If they rank ahead at this exit level, pro-rata proceeds fall c.40% for every converting holder - the single most valuable clause to settle in the documents. Finding 5.</t>
  </si>
  <si>
    <t xml:space="preserve">At the base exit here the participation roughly returns its money - it clears hurdles only at EUR 55m+ equity value, or with the structure below.</t>
  </si>
  <si>
    <t xml:space="preserve">memo: EUR 2m fully diluted share (post-top-up)</t>
  </si>
  <si>
    <t xml:space="preserve">I.  WHAT WE DO ABOUT IT - THE RECOMMENDED STRUCTURE FOR THE EUR 2m LEAD</t>
  </si>
  <si>
    <t xml:space="preserve">YES to leading the EUR 2m - the round is waiting on this lead</t>
  </si>
  <si>
    <t xml:space="preserve">Other investors are queued behind it, so the conditions below cost MIG nothing and close their round. Keep the EUR 15m headline; build the relationship.</t>
  </si>
  <si>
    <t xml:space="preserve">Tranche it</t>
  </si>
  <si>
    <t xml:space="preserve">EUR 1m at close; EUR 1m on Track-1 proof - partner framework signed + destruction contract + certification budget committed (findings 1, 2 and 4 made contractual).</t>
  </si>
  <si>
    <t xml:space="preserve">Sweetener instead of a price fight</t>
  </si>
  <si>
    <t xml:space="preserve">15-20% warrant coverage at EUR 15m, or their own convertible with the cap set at EUR 15m (not 25m) - repairs the Case-2 return without reopening the headline.</t>
  </si>
  <si>
    <t xml:space="preserve">Paper tidied</t>
  </si>
  <si>
    <t xml:space="preserve">Deck governance (1 investor / 1 MIG / 1 independent) and the deck's waterfall wording INTO the documents - finding 5 resolved at signing, when it is free.</t>
  </si>
  <si>
    <t xml:space="preserve">Pro-rata + first look at the 2027 round</t>
  </si>
  <si>
    <t xml:space="preserve">Alongside MIG - the top-up in section F is where the next EUR 5m of allocation (and the dilution protection) sits.</t>
  </si>
  <si>
    <t xml:space="preserve">Red assumptions are ours, stated for challenge. Staging follows the management discussion of 04-08-2026: framework year, commercial agreements from Oct-27, certification-gated utility entry, profitability approached late in the period.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</si>
</sst>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;\-0.00;\-"/>
    <numFmt numFmtId="166" formatCode="0.00%"/>
    <numFmt numFmtId="167" formatCode="0.00\x"/>
    <numFmt numFmtId="168" formatCode="0.0%;\-0.0%;\-"/>
    <numFmt numFmtId="169" formatCode="0"/>
    <numFmt numFmtId="170" formatCode="#,##0"/>
    <numFmt numFmtId="171" formatCode="0%"/>
    <numFmt numFmtId="172" formatCode="0.0%"/>
    <numFmt numFmtId="173" formatCode="#,##0.0;\-#,##0.0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.5"/>
      <color rgb="FFCC000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10"/>
      <color rgb="FFCC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5"/>
    <col collapsed="false" customWidth="true" hidden="false" outlineLevel="0" max="2" min="2" style="1" width="47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8" min="6" style="1" width="10.5"/>
    <col collapsed="false" customWidth="true" hidden="false" outlineLevel="0" max="9" min="9" style="1" width="2"/>
    <col collapsed="false" customWidth="true" hidden="false" outlineLevel="0" max="10" min="10" style="1" width="100"/>
  </cols>
  <sheetData>
    <row r="2" customFormat="false" ht="15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/>
      <c r="D5" s="5"/>
      <c r="E5" s="5"/>
      <c r="F5" s="5"/>
      <c r="G5" s="5"/>
      <c r="H5" s="5"/>
      <c r="I5" s="5"/>
      <c r="J5" s="5"/>
    </row>
    <row r="6" customFormat="false" ht="18.75" hidden="false" customHeight="true" outlineLevel="0" collapsed="false">
      <c r="B6" s="6" t="s">
        <v>3</v>
      </c>
    </row>
    <row r="7" customFormat="false" ht="27.75" hidden="false" customHeight="true" outlineLevel="0" collapsed="false">
      <c r="B7" s="6" t="s">
        <v>4</v>
      </c>
    </row>
    <row r="9" customFormat="false" ht="15" hidden="false" customHeight="true" outlineLevel="0" collapsed="false">
      <c r="B9" s="4" t="s">
        <v>5</v>
      </c>
      <c r="C9" s="5"/>
      <c r="D9" s="5"/>
      <c r="E9" s="5"/>
      <c r="F9" s="5"/>
      <c r="G9" s="5"/>
      <c r="H9" s="5"/>
      <c r="I9" s="5"/>
      <c r="J9" s="5"/>
    </row>
    <row r="10" customFormat="false" ht="15" hidden="false" customHeight="true" outlineLevel="0" collapsed="false">
      <c r="B10" s="7"/>
      <c r="C10" s="8" t="s">
        <v>6</v>
      </c>
      <c r="D10" s="8" t="s">
        <v>7</v>
      </c>
      <c r="E10" s="8" t="s">
        <v>8</v>
      </c>
      <c r="J10" s="7" t="s">
        <v>9</v>
      </c>
    </row>
    <row r="11" customFormat="false" ht="15" hidden="false" customHeight="true" outlineLevel="0" collapsed="false">
      <c r="B11" s="9" t="s">
        <v>10</v>
      </c>
      <c r="C11" s="10" t="n">
        <f aca="false">'Case 1 - As Given'!C65</f>
        <v>0.21</v>
      </c>
      <c r="D11" s="10" t="n">
        <f aca="false">'Case 2 - As Understood'!C30</f>
        <v>0.3</v>
      </c>
      <c r="E11" s="10" t="n">
        <f aca="false">D11-C11</f>
        <v>0.09</v>
      </c>
      <c r="J11" s="6" t="s">
        <v>11</v>
      </c>
    </row>
    <row r="12" customFormat="false" ht="15" hidden="false" customHeight="true" outlineLevel="0" collapsed="false">
      <c r="B12" s="9" t="s">
        <v>12</v>
      </c>
      <c r="C12" s="10" t="n">
        <f aca="false">'Case 1 - As Given'!D65</f>
        <v>2.17</v>
      </c>
      <c r="D12" s="10" t="n">
        <f aca="false">'Case 2 - As Understood'!D30</f>
        <v>0.9</v>
      </c>
      <c r="E12" s="10" t="n">
        <f aca="false">D12-C12</f>
        <v>-1.27</v>
      </c>
    </row>
    <row r="13" customFormat="false" ht="15" hidden="false" customHeight="true" outlineLevel="0" collapsed="false">
      <c r="B13" s="9" t="s">
        <v>13</v>
      </c>
      <c r="C13" s="10" t="n">
        <f aca="false">'Case 1 - As Given'!E65</f>
        <v>6.86</v>
      </c>
      <c r="D13" s="10" t="n">
        <f aca="false">'Case 2 - As Understood'!E30</f>
        <v>3</v>
      </c>
      <c r="E13" s="10" t="n">
        <f aca="false">D13-C13</f>
        <v>-3.86</v>
      </c>
    </row>
    <row r="14" customFormat="false" ht="15" hidden="false" customHeight="true" outlineLevel="0" collapsed="false">
      <c r="B14" s="9" t="s">
        <v>14</v>
      </c>
      <c r="C14" s="10" t="n">
        <f aca="false">'Case 1 - As Given'!F65</f>
        <v>8.02</v>
      </c>
      <c r="D14" s="10" t="n">
        <f aca="false">'Case 2 - As Understood'!F30</f>
        <v>6</v>
      </c>
      <c r="E14" s="10" t="n">
        <f aca="false">D14-C14</f>
        <v>-2.02</v>
      </c>
    </row>
    <row r="15" customFormat="false" ht="15" hidden="false" customHeight="true" outlineLevel="0" collapsed="false">
      <c r="B15" s="9" t="s">
        <v>15</v>
      </c>
      <c r="C15" s="10" t="n">
        <f aca="false">'Case 1 - As Given'!E71</f>
        <v>1.513</v>
      </c>
      <c r="D15" s="10" t="n">
        <f aca="false">'Case 2 - As Understood'!E54</f>
        <v>-1.95</v>
      </c>
      <c r="E15" s="10" t="n">
        <f aca="false">D15-C15</f>
        <v>-3.463</v>
      </c>
      <c r="J15" s="6" t="s">
        <v>16</v>
      </c>
    </row>
    <row r="16" customFormat="false" ht="15" hidden="false" customHeight="true" outlineLevel="0" collapsed="false">
      <c r="B16" s="9" t="s">
        <v>17</v>
      </c>
      <c r="C16" s="10" t="n">
        <f aca="false">'Case 1 - As Given'!F71</f>
        <v>1.643</v>
      </c>
      <c r="D16" s="10" t="n">
        <f aca="false">'Case 2 - As Understood'!F54</f>
        <v>-0.246</v>
      </c>
      <c r="E16" s="10" t="n">
        <f aca="false">D16-C16</f>
        <v>-1.889</v>
      </c>
    </row>
    <row r="17" customFormat="false" ht="15" hidden="false" customHeight="true" outlineLevel="0" collapsed="false">
      <c r="B17" s="9" t="s">
        <v>18</v>
      </c>
      <c r="C17" s="10" t="n">
        <f aca="false">MIN('Case 1 - As Given'!C83:F83)</f>
        <v>1.16</v>
      </c>
      <c r="D17" s="10" t="n">
        <f aca="false">MIN('Case 2 - As Understood'!C65:F65)</f>
        <v>0.4695</v>
      </c>
      <c r="E17" s="10" t="n">
        <f aca="false">D17-C17</f>
        <v>-0.6905</v>
      </c>
      <c r="J17" s="6" t="s">
        <v>19</v>
      </c>
    </row>
    <row r="18" customFormat="false" ht="15" hidden="false" customHeight="true" outlineLevel="0" collapsed="false">
      <c r="B18" s="9" t="s">
        <v>20</v>
      </c>
      <c r="C18" s="10" t="n">
        <f aca="false">4</f>
        <v>4</v>
      </c>
      <c r="D18" s="10" t="n">
        <f aca="false">9</f>
        <v>9</v>
      </c>
      <c r="E18" s="10" t="n">
        <f aca="false">D18-C18</f>
        <v>5</v>
      </c>
      <c r="J18" s="6" t="s">
        <v>21</v>
      </c>
    </row>
    <row r="19" customFormat="false" ht="15" hidden="false" customHeight="true" outlineLevel="0" collapsed="false">
      <c r="B19" s="9" t="s">
        <v>22</v>
      </c>
      <c r="C19" s="10" t="n">
        <f aca="false">0</f>
        <v>0</v>
      </c>
      <c r="D19" s="10" t="n">
        <f aca="false">2.2</f>
        <v>2.2</v>
      </c>
      <c r="E19" s="10" t="n">
        <f aca="false">D19-C19</f>
        <v>2.2</v>
      </c>
      <c r="J19" s="6" t="s">
        <v>23</v>
      </c>
    </row>
    <row r="20" customFormat="false" ht="15" hidden="false" customHeight="true" outlineLevel="0" collapsed="false">
      <c r="B20" s="9" t="s">
        <v>24</v>
      </c>
      <c r="C20" s="10" t="n">
        <f aca="false">'Case 1 - As Given'!C97</f>
        <v>43.84</v>
      </c>
      <c r="D20" s="10" t="n">
        <f aca="false">'Case 2 - As Understood'!C80</f>
        <v>30.4695</v>
      </c>
      <c r="E20" s="10" t="n">
        <f aca="false">D20-C20</f>
        <v>-13.3705</v>
      </c>
    </row>
    <row r="21" customFormat="false" ht="15" hidden="false" customHeight="true" outlineLevel="0" collapsed="false">
      <c r="B21" s="9" t="s">
        <v>25</v>
      </c>
      <c r="C21" s="11" t="n">
        <f aca="false">'Case 1 - As Given'!C108</f>
        <v>0.0947333333333333</v>
      </c>
      <c r="D21" s="11" t="n">
        <f aca="false">'Case 2 - As Understood'!C92</f>
        <v>0.0758</v>
      </c>
      <c r="E21" s="11" t="n">
        <f aca="false">D21-C21</f>
        <v>-0.0189333333333333</v>
      </c>
      <c r="J21" s="6" t="s">
        <v>26</v>
      </c>
    </row>
    <row r="22" customFormat="false" ht="15" hidden="false" customHeight="true" outlineLevel="0" collapsed="false">
      <c r="B22" s="9" t="s">
        <v>27</v>
      </c>
      <c r="C22" s="10" t="n">
        <f aca="false">'Case 1 - As Given'!C107</f>
        <v>4.15310933333333</v>
      </c>
      <c r="D22" s="10" t="n">
        <f aca="false">'Case 2 - As Understood'!C91</f>
        <v>2.3095881</v>
      </c>
      <c r="E22" s="10" t="n">
        <f aca="false">D22-C22</f>
        <v>-1.84352123333333</v>
      </c>
    </row>
    <row r="23" customFormat="false" ht="15" hidden="false" customHeight="true" outlineLevel="0" collapsed="false">
      <c r="B23" s="9" t="s">
        <v>28</v>
      </c>
      <c r="C23" s="12" t="n">
        <f aca="false">'Case 1 - As Given'!D107</f>
        <v>2.07655466666667</v>
      </c>
      <c r="D23" s="12" t="n">
        <f aca="false">'Case 2 - As Understood'!D91</f>
        <v>1.15479405</v>
      </c>
      <c r="E23" s="12" t="n">
        <f aca="false">D23-C23</f>
        <v>-0.921760616666667</v>
      </c>
    </row>
    <row r="24" customFormat="false" ht="15" hidden="false" customHeight="true" outlineLevel="0" collapsed="false">
      <c r="B24" s="9" t="s">
        <v>29</v>
      </c>
      <c r="C24" s="13" t="n">
        <f aca="false">'Case 1 - As Given'!E107</f>
        <v>0.275795667227006</v>
      </c>
      <c r="D24" s="13" t="n">
        <f aca="false">'Case 2 - As Understood'!E91</f>
        <v>0.049143382972479</v>
      </c>
    </row>
    <row r="26" customFormat="false" ht="15" hidden="false" customHeight="true" outlineLevel="0" collapsed="false">
      <c r="B26" s="4" t="s">
        <v>30</v>
      </c>
      <c r="C26" s="5"/>
      <c r="D26" s="5"/>
      <c r="E26" s="5"/>
      <c r="F26" s="5"/>
      <c r="G26" s="5"/>
      <c r="H26" s="5"/>
      <c r="I26" s="5"/>
      <c r="J26" s="5"/>
    </row>
    <row r="27" customFormat="false" ht="15" hidden="false" customHeight="true" outlineLevel="0" collapsed="false">
      <c r="B27" s="7" t="s">
        <v>31</v>
      </c>
      <c r="C27" s="8" t="s">
        <v>6</v>
      </c>
      <c r="D27" s="8" t="s">
        <v>7</v>
      </c>
      <c r="J27" s="7" t="s">
        <v>9</v>
      </c>
    </row>
    <row r="28" customFormat="false" ht="15" hidden="false" customHeight="true" outlineLevel="0" collapsed="false">
      <c r="B28" s="14" t="n">
        <v>35</v>
      </c>
      <c r="C28" s="12" t="n">
        <f aca="false">MAX(2,0.0947*B28)/2</f>
        <v>1.65725</v>
      </c>
      <c r="D28" s="12" t="n">
        <f aca="false">MAX(2,0.0758*B28)/2</f>
        <v>1.3265</v>
      </c>
      <c r="J28" s="15" t="s">
        <v>32</v>
      </c>
    </row>
    <row r="29" customFormat="false" ht="15" hidden="false" customHeight="true" outlineLevel="0" collapsed="false">
      <c r="B29" s="14" t="n">
        <v>55</v>
      </c>
      <c r="C29" s="12" t="n">
        <f aca="false">MAX(2,0.0947*B29)/2</f>
        <v>2.60425</v>
      </c>
      <c r="D29" s="12" t="n">
        <f aca="false">MAX(2,0.0758*B29)/2</f>
        <v>2.0845</v>
      </c>
      <c r="J29" s="15" t="s">
        <v>33</v>
      </c>
    </row>
    <row r="30" customFormat="false" ht="15" hidden="false" customHeight="true" outlineLevel="0" collapsed="false">
      <c r="B30" s="14" t="n">
        <v>90</v>
      </c>
      <c r="C30" s="12" t="n">
        <f aca="false">MAX(2,0.0947*B30)/2</f>
        <v>4.2615</v>
      </c>
      <c r="D30" s="12" t="n">
        <f aca="false">MAX(2,0.0758*B30)/2</f>
        <v>3.411</v>
      </c>
      <c r="J30" s="15" t="s">
        <v>34</v>
      </c>
    </row>
    <row r="32" customFormat="false" ht="15" hidden="false" customHeight="true" outlineLevel="0" collapsed="false">
      <c r="B32" s="4" t="s">
        <v>35</v>
      </c>
      <c r="C32" s="5"/>
      <c r="D32" s="5"/>
      <c r="E32" s="5"/>
      <c r="F32" s="5"/>
      <c r="G32" s="5"/>
      <c r="H32" s="5"/>
      <c r="I32" s="5"/>
      <c r="J32" s="5"/>
    </row>
    <row r="33" customFormat="false" ht="15" hidden="false" customHeight="true" outlineLevel="0" collapsed="false">
      <c r="B33" s="16" t="s">
        <v>36</v>
      </c>
    </row>
    <row r="34" customFormat="false" ht="15" hidden="false" customHeight="true" outlineLevel="0" collapsed="false">
      <c r="B34" s="16" t="s">
        <v>37</v>
      </c>
    </row>
    <row r="35" customFormat="false" ht="15" hidden="false" customHeight="true" outlineLevel="0" collapsed="false">
      <c r="B35" s="16" t="s">
        <v>38</v>
      </c>
    </row>
    <row r="36" customFormat="false" ht="15" hidden="false" customHeight="true" outlineLevel="0" collapsed="false">
      <c r="B36" s="16" t="s">
        <v>39</v>
      </c>
    </row>
    <row r="37" customFormat="false" ht="15" hidden="false" customHeight="true" outlineLevel="0" collapsed="false">
      <c r="B37" s="16" t="s">
        <v>40</v>
      </c>
    </row>
    <row r="39" customFormat="false" ht="15" hidden="false" customHeight="true" outlineLevel="0" collapsed="false">
      <c r="B39" s="4" t="s">
        <v>41</v>
      </c>
      <c r="C39" s="5"/>
      <c r="D39" s="5"/>
      <c r="E39" s="5"/>
      <c r="F39" s="5"/>
      <c r="G39" s="5"/>
      <c r="H39" s="5"/>
      <c r="I39" s="5"/>
      <c r="J39" s="5"/>
    </row>
    <row r="40" customFormat="false" ht="27.75" hidden="false" customHeight="true" outlineLevel="0" collapsed="false">
      <c r="B40" s="6" t="s">
        <v>42</v>
      </c>
    </row>
    <row r="42" customFormat="false" ht="36.75" hidden="false" customHeight="true" outlineLevel="0" collapsed="false">
      <c r="B42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5"/>
    <col collapsed="false" customWidth="true" hidden="false" outlineLevel="0" max="2" min="2" style="1" width="47"/>
    <col collapsed="false" customWidth="true" hidden="false" outlineLevel="0" max="8" min="3" style="1" width="10.5"/>
    <col collapsed="false" customWidth="true" hidden="false" outlineLevel="0" max="9" min="9" style="1" width="2"/>
    <col collapsed="false" customWidth="true" hidden="false" outlineLevel="0" max="10" min="10" style="1" width="100"/>
  </cols>
  <sheetData>
    <row r="2" customFormat="false" ht="15.75" hidden="false" customHeight="true" outlineLevel="0" collapsed="false">
      <c r="B2" s="2" t="s">
        <v>44</v>
      </c>
    </row>
    <row r="3" customFormat="false" ht="15" hidden="false" customHeight="true" outlineLevel="0" collapsed="false">
      <c r="B3" s="3" t="s">
        <v>45</v>
      </c>
    </row>
    <row r="5" customFormat="false" ht="15" hidden="false" customHeight="true" outlineLevel="0" collapsed="false">
      <c r="B5" s="4" t="s">
        <v>46</v>
      </c>
      <c r="C5" s="5"/>
      <c r="D5" s="5"/>
      <c r="E5" s="5"/>
      <c r="F5" s="5"/>
      <c r="G5" s="5"/>
      <c r="H5" s="5"/>
      <c r="I5" s="5"/>
      <c r="J5" s="5"/>
    </row>
    <row r="6" customFormat="false" ht="15" hidden="false" customHeight="true" outlineLevel="0" collapsed="false">
      <c r="B6" s="7"/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J6" s="7"/>
    </row>
    <row r="7" customFormat="false" ht="15" hidden="false" customHeight="true" outlineLevel="0" collapsed="false">
      <c r="B7" s="9"/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7" t="s">
        <v>57</v>
      </c>
    </row>
    <row r="9" customFormat="false" ht="15" hidden="false" customHeight="true" outlineLevel="0" collapsed="false">
      <c r="B9" s="4" t="s">
        <v>58</v>
      </c>
      <c r="C9" s="5"/>
      <c r="D9" s="5"/>
      <c r="E9" s="5"/>
      <c r="F9" s="5"/>
      <c r="G9" s="5"/>
      <c r="H9" s="5"/>
      <c r="I9" s="5"/>
      <c r="J9" s="5"/>
    </row>
    <row r="10" customFormat="false" ht="15" hidden="false" customHeight="true" outlineLevel="0" collapsed="false">
      <c r="B10" s="9" t="s">
        <v>59</v>
      </c>
      <c r="C10" s="18" t="s">
        <v>60</v>
      </c>
      <c r="J10" s="6" t="s">
        <v>61</v>
      </c>
    </row>
    <row r="11" customFormat="false" ht="15" hidden="false" customHeight="true" outlineLevel="0" collapsed="false">
      <c r="B11" s="9" t="s">
        <v>62</v>
      </c>
      <c r="C11" s="18" t="s">
        <v>63</v>
      </c>
      <c r="J11" s="6" t="s">
        <v>64</v>
      </c>
    </row>
    <row r="12" customFormat="false" ht="15" hidden="false" customHeight="true" outlineLevel="0" collapsed="false">
      <c r="B12" s="9" t="s">
        <v>65</v>
      </c>
      <c r="C12" s="19" t="n">
        <v>0.35</v>
      </c>
      <c r="J12" s="6" t="s">
        <v>66</v>
      </c>
    </row>
    <row r="13" customFormat="false" ht="15" hidden="false" customHeight="true" outlineLevel="0" collapsed="false">
      <c r="B13" s="9" t="s">
        <v>67</v>
      </c>
      <c r="C13" s="18" t="s">
        <v>68</v>
      </c>
      <c r="J13" s="6" t="s">
        <v>69</v>
      </c>
    </row>
    <row r="14" customFormat="false" ht="15" hidden="false" customHeight="true" outlineLevel="0" collapsed="false">
      <c r="B14" s="9" t="s">
        <v>70</v>
      </c>
      <c r="C14" s="20" t="n">
        <v>0.02</v>
      </c>
      <c r="D14" s="20" t="n">
        <v>0.03</v>
      </c>
      <c r="J14" s="6" t="s">
        <v>71</v>
      </c>
    </row>
    <row r="16" customFormat="false" ht="15" hidden="false" customHeight="true" outlineLevel="0" collapsed="false">
      <c r="B16" s="4" t="s">
        <v>72</v>
      </c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true" outlineLevel="0" collapsed="false">
      <c r="B17" s="7" t="s">
        <v>73</v>
      </c>
      <c r="C17" s="8" t="s">
        <v>74</v>
      </c>
      <c r="D17" s="8" t="s">
        <v>75</v>
      </c>
      <c r="E17" s="8" t="s">
        <v>76</v>
      </c>
      <c r="F17" s="8" t="s">
        <v>77</v>
      </c>
      <c r="G17" s="8" t="s">
        <v>78</v>
      </c>
      <c r="H17" s="8" t="s">
        <v>79</v>
      </c>
      <c r="J17" s="7" t="s">
        <v>9</v>
      </c>
    </row>
    <row r="18" customFormat="false" ht="15" hidden="false" customHeight="true" outlineLevel="0" collapsed="false">
      <c r="B18" s="18" t="s">
        <v>80</v>
      </c>
      <c r="C18" s="21" t="s">
        <v>81</v>
      </c>
      <c r="D18" s="22" t="n">
        <v>45</v>
      </c>
      <c r="E18" s="22" t="n">
        <v>12</v>
      </c>
      <c r="F18" s="23" t="n">
        <v>0.27</v>
      </c>
      <c r="G18" s="24" t="n">
        <v>0.733</v>
      </c>
      <c r="H18" s="21" t="s">
        <v>82</v>
      </c>
      <c r="J18" s="6" t="s">
        <v>83</v>
      </c>
    </row>
    <row r="19" customFormat="false" ht="15" hidden="false" customHeight="true" outlineLevel="0" collapsed="false">
      <c r="B19" s="18" t="s">
        <v>84</v>
      </c>
      <c r="C19" s="21" t="s">
        <v>74</v>
      </c>
      <c r="D19" s="22" t="n">
        <v>2500</v>
      </c>
      <c r="E19" s="22" t="n">
        <v>900</v>
      </c>
      <c r="F19" s="23" t="n">
        <v>0.36</v>
      </c>
      <c r="G19" s="24" t="n">
        <v>0.64</v>
      </c>
      <c r="H19" s="21" t="s">
        <v>82</v>
      </c>
      <c r="J19" s="6" t="s">
        <v>85</v>
      </c>
    </row>
    <row r="20" customFormat="false" ht="15" hidden="false" customHeight="true" outlineLevel="0" collapsed="false">
      <c r="B20" s="18" t="s">
        <v>86</v>
      </c>
      <c r="C20" s="21" t="s">
        <v>87</v>
      </c>
      <c r="D20" s="22" t="n">
        <v>35000</v>
      </c>
      <c r="E20" s="22" t="n">
        <v>18000</v>
      </c>
      <c r="F20" s="23" t="n">
        <v>0.51</v>
      </c>
      <c r="G20" s="24" t="n">
        <v>0.49</v>
      </c>
      <c r="H20" s="21" t="s">
        <v>88</v>
      </c>
      <c r="J20" s="6" t="s">
        <v>89</v>
      </c>
    </row>
    <row r="21" customFormat="false" ht="15" hidden="false" customHeight="true" outlineLevel="0" collapsed="false">
      <c r="B21" s="18" t="s">
        <v>90</v>
      </c>
      <c r="C21" s="21" t="s">
        <v>74</v>
      </c>
      <c r="D21" s="22" t="n">
        <v>35000</v>
      </c>
      <c r="E21" s="22" t="n">
        <v>18000</v>
      </c>
      <c r="F21" s="23" t="n">
        <v>0.51</v>
      </c>
      <c r="G21" s="24" t="n">
        <v>0.49</v>
      </c>
      <c r="H21" s="21" t="s">
        <v>88</v>
      </c>
      <c r="J21" s="6" t="s">
        <v>91</v>
      </c>
    </row>
    <row r="22" customFormat="false" ht="15" hidden="false" customHeight="true" outlineLevel="0" collapsed="false">
      <c r="B22" s="18" t="s">
        <v>92</v>
      </c>
      <c r="C22" s="21" t="s">
        <v>81</v>
      </c>
      <c r="D22" s="22" t="n">
        <v>35</v>
      </c>
      <c r="E22" s="22" t="n">
        <v>10</v>
      </c>
      <c r="F22" s="23" t="n">
        <v>0.29</v>
      </c>
      <c r="G22" s="24" t="n">
        <v>0.714</v>
      </c>
      <c r="H22" s="21" t="s">
        <v>82</v>
      </c>
      <c r="J22" s="6" t="s">
        <v>93</v>
      </c>
    </row>
    <row r="23" customFormat="false" ht="15" hidden="false" customHeight="true" outlineLevel="0" collapsed="false">
      <c r="B23" s="18" t="s">
        <v>94</v>
      </c>
      <c r="C23" s="21" t="s">
        <v>74</v>
      </c>
      <c r="D23" s="22" t="n">
        <v>12</v>
      </c>
      <c r="E23" s="22" t="n">
        <v>4</v>
      </c>
      <c r="F23" s="23" t="n">
        <v>0.33</v>
      </c>
      <c r="G23" s="24" t="n">
        <v>0.667</v>
      </c>
      <c r="H23" s="21" t="s">
        <v>82</v>
      </c>
      <c r="J23" s="6" t="s">
        <v>95</v>
      </c>
    </row>
    <row r="24" customFormat="false" ht="15" hidden="false" customHeight="true" outlineLevel="0" collapsed="false">
      <c r="B24" s="18" t="s">
        <v>96</v>
      </c>
      <c r="C24" s="21" t="s">
        <v>87</v>
      </c>
      <c r="D24" s="22" t="n">
        <v>10000</v>
      </c>
      <c r="E24" s="25"/>
      <c r="F24" s="23" t="n">
        <v>0.3</v>
      </c>
      <c r="G24" s="24" t="n">
        <v>0.7</v>
      </c>
      <c r="H24" s="21" t="s">
        <v>88</v>
      </c>
      <c r="J24" s="6" t="s">
        <v>97</v>
      </c>
    </row>
    <row r="25" customFormat="false" ht="15" hidden="false" customHeight="true" outlineLevel="0" collapsed="false">
      <c r="B25" s="18" t="s">
        <v>98</v>
      </c>
      <c r="C25" s="21" t="s">
        <v>87</v>
      </c>
      <c r="D25" s="22" t="n">
        <v>10000</v>
      </c>
      <c r="E25" s="25"/>
      <c r="F25" s="23" t="n">
        <v>0.3</v>
      </c>
      <c r="G25" s="24" t="n">
        <v>0.7</v>
      </c>
      <c r="H25" s="21" t="s">
        <v>88</v>
      </c>
      <c r="J25" s="6" t="s">
        <v>97</v>
      </c>
    </row>
    <row r="26" customFormat="false" ht="15" hidden="false" customHeight="true" outlineLevel="0" collapsed="false">
      <c r="B26" s="18" t="s">
        <v>99</v>
      </c>
      <c r="C26" s="21" t="s">
        <v>100</v>
      </c>
      <c r="D26" s="25"/>
      <c r="E26" s="25"/>
      <c r="F26" s="23" t="n">
        <v>0.05</v>
      </c>
      <c r="G26" s="24" t="n">
        <v>0.95</v>
      </c>
      <c r="H26" s="21" t="s">
        <v>88</v>
      </c>
      <c r="J26" s="6" t="s">
        <v>101</v>
      </c>
    </row>
    <row r="27" customFormat="false" ht="15" hidden="false" customHeight="true" outlineLevel="0" collapsed="false">
      <c r="B27" s="18" t="s">
        <v>102</v>
      </c>
      <c r="C27" s="21" t="s">
        <v>103</v>
      </c>
      <c r="D27" s="22" t="n">
        <v>15000</v>
      </c>
      <c r="E27" s="25"/>
      <c r="F27" s="23" t="n">
        <v>0.35</v>
      </c>
      <c r="G27" s="24" t="n">
        <v>0.65</v>
      </c>
      <c r="H27" s="21" t="s">
        <v>82</v>
      </c>
      <c r="J27" s="6" t="s">
        <v>104</v>
      </c>
    </row>
    <row r="28" customFormat="false" ht="18.75" hidden="false" customHeight="true" outlineLevel="0" collapsed="false">
      <c r="B28" s="6" t="s">
        <v>105</v>
      </c>
    </row>
    <row r="30" customFormat="false" ht="15" hidden="false" customHeight="true" outlineLevel="0" collapsed="false">
      <c r="B30" s="4" t="s">
        <v>106</v>
      </c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true" outlineLevel="0" collapsed="false">
      <c r="B31" s="7" t="s">
        <v>107</v>
      </c>
      <c r="C31" s="8" t="s">
        <v>108</v>
      </c>
      <c r="J31" s="7" t="s">
        <v>109</v>
      </c>
    </row>
    <row r="32" customFormat="false" ht="15" hidden="false" customHeight="true" outlineLevel="0" collapsed="false">
      <c r="B32" s="18" t="s">
        <v>110</v>
      </c>
      <c r="C32" s="23" t="n">
        <v>1</v>
      </c>
      <c r="J32" s="15" t="s">
        <v>111</v>
      </c>
    </row>
    <row r="33" customFormat="false" ht="15" hidden="false" customHeight="true" outlineLevel="0" collapsed="false">
      <c r="B33" s="18" t="s">
        <v>112</v>
      </c>
      <c r="C33" s="23" t="n">
        <v>0.9</v>
      </c>
      <c r="J33" s="15" t="s">
        <v>113</v>
      </c>
    </row>
    <row r="34" customFormat="false" ht="15" hidden="false" customHeight="true" outlineLevel="0" collapsed="false">
      <c r="B34" s="18" t="s">
        <v>114</v>
      </c>
      <c r="C34" s="23" t="n">
        <v>0.75</v>
      </c>
      <c r="J34" s="15" t="s">
        <v>115</v>
      </c>
    </row>
    <row r="35" customFormat="false" ht="15" hidden="false" customHeight="true" outlineLevel="0" collapsed="false">
      <c r="B35" s="18" t="s">
        <v>116</v>
      </c>
      <c r="C35" s="23" t="n">
        <v>0.5</v>
      </c>
      <c r="J35" s="15" t="s">
        <v>117</v>
      </c>
    </row>
    <row r="36" customFormat="false" ht="15" hidden="false" customHeight="true" outlineLevel="0" collapsed="false">
      <c r="B36" s="18" t="s">
        <v>118</v>
      </c>
      <c r="C36" s="23" t="n">
        <v>0.3</v>
      </c>
      <c r="J36" s="15" t="s">
        <v>119</v>
      </c>
    </row>
    <row r="37" customFormat="false" ht="15" hidden="false" customHeight="true" outlineLevel="0" collapsed="false">
      <c r="B37" s="18" t="s">
        <v>120</v>
      </c>
      <c r="C37" s="23" t="n">
        <v>0.1</v>
      </c>
      <c r="J37" s="15" t="s">
        <v>121</v>
      </c>
    </row>
    <row r="38" customFormat="false" ht="15" hidden="false" customHeight="true" outlineLevel="0" collapsed="false">
      <c r="B38" s="18" t="s">
        <v>122</v>
      </c>
      <c r="C38" s="21" t="s">
        <v>123</v>
      </c>
      <c r="J38" s="15" t="s">
        <v>124</v>
      </c>
    </row>
    <row r="39" customFormat="false" ht="18.75" hidden="false" customHeight="true" outlineLevel="0" collapsed="false">
      <c r="B39" s="6" t="s">
        <v>125</v>
      </c>
    </row>
    <row r="41" customFormat="false" ht="15" hidden="false" customHeight="true" outlineLevel="0" collapsed="false">
      <c r="B41" s="4" t="s">
        <v>126</v>
      </c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true" outlineLevel="0" collapsed="false">
      <c r="B42" s="7" t="s">
        <v>127</v>
      </c>
      <c r="C42" s="8" t="s">
        <v>47</v>
      </c>
      <c r="D42" s="8" t="s">
        <v>48</v>
      </c>
      <c r="E42" s="8" t="s">
        <v>49</v>
      </c>
      <c r="F42" s="8" t="s">
        <v>50</v>
      </c>
      <c r="G42" s="8" t="s">
        <v>51</v>
      </c>
      <c r="H42" s="8" t="s">
        <v>52</v>
      </c>
      <c r="J42" s="7" t="s">
        <v>9</v>
      </c>
    </row>
    <row r="43" customFormat="false" ht="18.75" hidden="false" customHeight="true" outlineLevel="0" collapsed="false">
      <c r="B43" s="6" t="s">
        <v>128</v>
      </c>
    </row>
    <row r="44" customFormat="false" ht="15" hidden="false" customHeight="true" outlineLevel="0" collapsed="false">
      <c r="B44" s="9" t="s">
        <v>129</v>
      </c>
      <c r="C44" s="26" t="n">
        <v>35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J44" s="6" t="s">
        <v>130</v>
      </c>
    </row>
    <row r="45" customFormat="false" ht="15" hidden="false" customHeight="true" outlineLevel="0" collapsed="false">
      <c r="B45" s="9" t="s">
        <v>131</v>
      </c>
      <c r="C45" s="26" t="n">
        <v>6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J45" s="6" t="s">
        <v>132</v>
      </c>
    </row>
    <row r="46" customFormat="false" ht="15" hidden="false" customHeight="true" outlineLevel="0" collapsed="false">
      <c r="B46" s="9" t="s">
        <v>133</v>
      </c>
      <c r="C46" s="26" t="n">
        <v>46</v>
      </c>
      <c r="D46" s="26" t="n">
        <v>37</v>
      </c>
      <c r="E46" s="26" t="n">
        <v>0</v>
      </c>
      <c r="F46" s="26" t="n">
        <v>0</v>
      </c>
      <c r="G46" s="26" t="n">
        <v>0</v>
      </c>
      <c r="H46" s="26" t="n">
        <v>0</v>
      </c>
      <c r="J46" s="6" t="s">
        <v>134</v>
      </c>
    </row>
    <row r="47" customFormat="false" ht="15" hidden="false" customHeight="true" outlineLevel="0" collapsed="false">
      <c r="B47" s="9" t="s">
        <v>135</v>
      </c>
      <c r="C47" s="26" t="n">
        <v>5.5</v>
      </c>
      <c r="D47" s="26" t="n">
        <v>127.2</v>
      </c>
      <c r="E47" s="26" t="n">
        <v>0.1</v>
      </c>
      <c r="F47" s="26" t="n">
        <v>0</v>
      </c>
      <c r="G47" s="26" t="n">
        <v>0</v>
      </c>
      <c r="H47" s="26" t="n">
        <v>0</v>
      </c>
      <c r="J47" s="6" t="s">
        <v>136</v>
      </c>
    </row>
    <row r="48" customFormat="false" ht="15" hidden="false" customHeight="true" outlineLevel="0" collapsed="false">
      <c r="B48" s="9" t="s">
        <v>137</v>
      </c>
      <c r="C48" s="26" t="n">
        <v>2.3</v>
      </c>
      <c r="D48" s="26" t="n">
        <v>70.6</v>
      </c>
      <c r="E48" s="26" t="n">
        <v>0</v>
      </c>
      <c r="F48" s="26" t="n">
        <v>0</v>
      </c>
      <c r="G48" s="26" t="n">
        <v>0</v>
      </c>
      <c r="H48" s="26" t="n">
        <v>0</v>
      </c>
      <c r="J48" s="6" t="s">
        <v>138</v>
      </c>
    </row>
    <row r="49" customFormat="false" ht="15" hidden="false" customHeight="true" outlineLevel="0" collapsed="false">
      <c r="B49" s="27" t="s">
        <v>139</v>
      </c>
      <c r="C49" s="28" t="n">
        <f aca="false">SUM(C44:C48)</f>
        <v>94.8</v>
      </c>
      <c r="D49" s="28" t="n">
        <f aca="false">SUM(D44:D48)</f>
        <v>234.8</v>
      </c>
      <c r="E49" s="28" t="n">
        <f aca="false">SUM(E44:E48)</f>
        <v>0.1</v>
      </c>
      <c r="F49" s="28" t="n">
        <f aca="false">SUM(F44:F48)</f>
        <v>0</v>
      </c>
      <c r="G49" s="28" t="n">
        <f aca="false">SUM(G44:G48)</f>
        <v>0</v>
      </c>
      <c r="H49" s="28" t="n">
        <f aca="false">SUM(H44:H48)</f>
        <v>0</v>
      </c>
      <c r="J49" s="6" t="s">
        <v>140</v>
      </c>
    </row>
    <row r="51" customFormat="false" ht="18.75" hidden="false" customHeight="true" outlineLevel="0" collapsed="false">
      <c r="B51" s="6" t="s">
        <v>141</v>
      </c>
    </row>
    <row r="52" customFormat="false" ht="15" hidden="false" customHeight="true" outlineLevel="0" collapsed="false">
      <c r="B52" s="9" t="s">
        <v>142</v>
      </c>
      <c r="C52" s="26" t="n">
        <v>20</v>
      </c>
      <c r="D52" s="26" t="n">
        <v>650</v>
      </c>
      <c r="E52" s="26" t="n">
        <v>1840</v>
      </c>
      <c r="F52" s="26" t="n">
        <v>1500</v>
      </c>
      <c r="G52" s="26" t="n">
        <v>1750</v>
      </c>
      <c r="H52" s="26" t="n">
        <v>1937.3</v>
      </c>
      <c r="J52" s="6" t="s">
        <v>143</v>
      </c>
    </row>
    <row r="53" customFormat="false" ht="15" hidden="false" customHeight="true" outlineLevel="0" collapsed="false">
      <c r="B53" s="9" t="s">
        <v>144</v>
      </c>
      <c r="C53" s="26" t="n">
        <v>5</v>
      </c>
      <c r="D53" s="26" t="n">
        <v>142.5</v>
      </c>
      <c r="E53" s="26" t="n">
        <v>370</v>
      </c>
      <c r="F53" s="26" t="n">
        <v>310</v>
      </c>
      <c r="G53" s="26" t="n">
        <v>215.3</v>
      </c>
      <c r="H53" s="26" t="n">
        <v>237.3</v>
      </c>
      <c r="J53" s="6" t="s">
        <v>145</v>
      </c>
    </row>
    <row r="54" customFormat="false" ht="15" hidden="false" customHeight="true" outlineLevel="0" collapsed="false">
      <c r="B54" s="9" t="s">
        <v>146</v>
      </c>
      <c r="C54" s="26" t="n">
        <v>60</v>
      </c>
      <c r="D54" s="26" t="n">
        <v>300</v>
      </c>
      <c r="E54" s="26" t="n">
        <v>2120</v>
      </c>
      <c r="F54" s="26" t="n">
        <v>1800</v>
      </c>
      <c r="G54" s="26" t="n">
        <v>2460</v>
      </c>
      <c r="H54" s="26" t="n">
        <v>2712.2</v>
      </c>
      <c r="J54" s="6" t="s">
        <v>147</v>
      </c>
    </row>
    <row r="55" customFormat="false" ht="15" hidden="false" customHeight="true" outlineLevel="0" collapsed="false">
      <c r="B55" s="9" t="s">
        <v>148</v>
      </c>
      <c r="C55" s="26" t="n">
        <v>0</v>
      </c>
      <c r="D55" s="26" t="n">
        <v>375</v>
      </c>
      <c r="E55" s="26" t="n">
        <v>1500</v>
      </c>
      <c r="F55" s="26" t="n">
        <v>1900</v>
      </c>
      <c r="G55" s="26" t="n">
        <v>2152.5</v>
      </c>
      <c r="H55" s="26" t="n">
        <v>2373.1</v>
      </c>
      <c r="J55" s="6" t="s">
        <v>149</v>
      </c>
    </row>
    <row r="56" customFormat="false" ht="15" hidden="false" customHeight="true" outlineLevel="0" collapsed="false">
      <c r="B56" s="9" t="s">
        <v>150</v>
      </c>
      <c r="C56" s="26" t="n">
        <v>25</v>
      </c>
      <c r="D56" s="26" t="n">
        <v>270</v>
      </c>
      <c r="E56" s="26" t="n">
        <v>680</v>
      </c>
      <c r="F56" s="26" t="n">
        <v>710</v>
      </c>
      <c r="G56" s="26" t="n">
        <v>753.4</v>
      </c>
      <c r="H56" s="26" t="n">
        <v>830.6</v>
      </c>
      <c r="J56" s="6" t="s">
        <v>151</v>
      </c>
    </row>
    <row r="57" customFormat="false" ht="15" hidden="false" customHeight="true" outlineLevel="0" collapsed="false">
      <c r="B57" s="9" t="s">
        <v>152</v>
      </c>
      <c r="C57" s="26" t="n">
        <v>0</v>
      </c>
      <c r="D57" s="26" t="n">
        <v>190</v>
      </c>
      <c r="E57" s="26" t="n">
        <v>350</v>
      </c>
      <c r="F57" s="26" t="n">
        <v>1800</v>
      </c>
      <c r="G57" s="26" t="n">
        <v>3200</v>
      </c>
      <c r="H57" s="26" t="n">
        <v>5000</v>
      </c>
      <c r="J57" s="6" t="s">
        <v>153</v>
      </c>
    </row>
    <row r="58" customFormat="false" ht="15" hidden="false" customHeight="true" outlineLevel="0" collapsed="false">
      <c r="B58" s="27" t="s">
        <v>154</v>
      </c>
      <c r="C58" s="28" t="n">
        <f aca="false">SUM(C52:C57)</f>
        <v>110</v>
      </c>
      <c r="D58" s="28" t="n">
        <f aca="false">SUM(D52:D57)</f>
        <v>1927.5</v>
      </c>
      <c r="E58" s="28" t="n">
        <f aca="false">SUM(E52:E57)</f>
        <v>6860</v>
      </c>
      <c r="F58" s="28" t="n">
        <f aca="false">SUM(F52:F57)</f>
        <v>8020</v>
      </c>
      <c r="G58" s="28" t="n">
        <f aca="false">SUM(G52:G57)</f>
        <v>10531.2</v>
      </c>
      <c r="H58" s="28" t="n">
        <f aca="false">SUM(H52:H57)</f>
        <v>13090.5</v>
      </c>
      <c r="J58" s="6" t="s">
        <v>155</v>
      </c>
    </row>
    <row r="59" customFormat="false" ht="15" hidden="false" customHeight="true" outlineLevel="0" collapsed="false">
      <c r="B59" s="7" t="s">
        <v>156</v>
      </c>
      <c r="C59" s="29" t="n">
        <f aca="false">C49+C58</f>
        <v>204.8</v>
      </c>
      <c r="D59" s="29" t="n">
        <f aca="false">D49+D58</f>
        <v>2162.3</v>
      </c>
      <c r="E59" s="29" t="n">
        <f aca="false">E49+E58</f>
        <v>6860.1</v>
      </c>
      <c r="F59" s="29" t="n">
        <f aca="false">F49+F58</f>
        <v>8020</v>
      </c>
      <c r="G59" s="29" t="n">
        <f aca="false">G49+G58</f>
        <v>10531.2</v>
      </c>
      <c r="H59" s="29" t="n">
        <f aca="false">H49+H58</f>
        <v>13090.5</v>
      </c>
    </row>
    <row r="60" customFormat="false" ht="15" hidden="false" customHeight="true" outlineLevel="0" collapsed="false">
      <c r="B60" s="9" t="s">
        <v>157</v>
      </c>
      <c r="C60" s="26" t="n">
        <v>210</v>
      </c>
      <c r="D60" s="26" t="n">
        <v>2170</v>
      </c>
      <c r="E60" s="26" t="n">
        <v>6860</v>
      </c>
      <c r="F60" s="26" t="n">
        <v>8020</v>
      </c>
      <c r="G60" s="26" t="n">
        <v>10530</v>
      </c>
      <c r="H60" s="26" t="n">
        <v>13090</v>
      </c>
      <c r="J60" s="6" t="s">
        <v>158</v>
      </c>
    </row>
    <row r="61" customFormat="false" ht="15" hidden="false" customHeight="true" outlineLevel="0" collapsed="false">
      <c r="B61" s="9" t="s">
        <v>159</v>
      </c>
      <c r="C61" s="30" t="n">
        <f aca="false">C59-C60</f>
        <v>-5.19999999999999</v>
      </c>
      <c r="D61" s="30" t="n">
        <f aca="false">D59-D60</f>
        <v>-7.69999999999982</v>
      </c>
      <c r="E61" s="30" t="n">
        <f aca="false">E59-E60</f>
        <v>0.100000000000364</v>
      </c>
      <c r="F61" s="30" t="n">
        <f aca="false">F59-F60</f>
        <v>0</v>
      </c>
      <c r="G61" s="30" t="n">
        <f aca="false">G59-G60</f>
        <v>1.20000000000073</v>
      </c>
      <c r="H61" s="30" t="n">
        <f aca="false">H59-H60</f>
        <v>0.5</v>
      </c>
      <c r="J61" s="6" t="s">
        <v>160</v>
      </c>
    </row>
    <row r="63" customFormat="false" ht="15" hidden="false" customHeight="true" outlineLevel="0" collapsed="false">
      <c r="B63" s="4" t="s">
        <v>161</v>
      </c>
      <c r="C63" s="5"/>
      <c r="D63" s="5"/>
      <c r="E63" s="5"/>
      <c r="F63" s="5"/>
      <c r="G63" s="5"/>
      <c r="H63" s="5"/>
      <c r="I63" s="5"/>
      <c r="J63" s="5"/>
    </row>
    <row r="64" customFormat="false" ht="15" hidden="false" customHeight="true" outlineLevel="0" collapsed="false">
      <c r="B64" s="7" t="s">
        <v>162</v>
      </c>
      <c r="C64" s="8" t="s">
        <v>47</v>
      </c>
      <c r="D64" s="8" t="s">
        <v>48</v>
      </c>
      <c r="E64" s="8" t="s">
        <v>49</v>
      </c>
      <c r="F64" s="8" t="s">
        <v>50</v>
      </c>
      <c r="G64" s="8" t="s">
        <v>51</v>
      </c>
      <c r="H64" s="8" t="s">
        <v>52</v>
      </c>
      <c r="J64" s="7" t="s">
        <v>9</v>
      </c>
    </row>
    <row r="65" customFormat="false" ht="15" hidden="false" customHeight="true" outlineLevel="0" collapsed="false">
      <c r="B65" s="9" t="s">
        <v>163</v>
      </c>
      <c r="C65" s="19" t="n">
        <v>0.21</v>
      </c>
      <c r="D65" s="19" t="n">
        <v>2.17</v>
      </c>
      <c r="E65" s="19" t="n">
        <v>6.86</v>
      </c>
      <c r="F65" s="19" t="n">
        <v>8.02</v>
      </c>
      <c r="G65" s="19" t="n">
        <v>10.53</v>
      </c>
      <c r="H65" s="19" t="n">
        <v>13.09</v>
      </c>
      <c r="J65" s="6" t="s">
        <v>164</v>
      </c>
    </row>
    <row r="66" customFormat="false" ht="15" hidden="false" customHeight="true" outlineLevel="0" collapsed="false">
      <c r="B66" s="9" t="s">
        <v>165</v>
      </c>
      <c r="C66" s="19" t="n">
        <v>0.08</v>
      </c>
      <c r="D66" s="19" t="n">
        <v>0.66</v>
      </c>
      <c r="E66" s="19" t="n">
        <v>1.93</v>
      </c>
      <c r="F66" s="19" t="n">
        <v>2.34</v>
      </c>
      <c r="G66" s="19" t="n">
        <v>3.1</v>
      </c>
      <c r="H66" s="19" t="n">
        <v>3.91</v>
      </c>
      <c r="J66" s="6" t="s">
        <v>166</v>
      </c>
    </row>
    <row r="67" customFormat="false" ht="15" hidden="false" customHeight="true" outlineLevel="0" collapsed="false">
      <c r="B67" s="7" t="s">
        <v>167</v>
      </c>
      <c r="C67" s="31" t="n">
        <f aca="false">C65-C66</f>
        <v>0.13</v>
      </c>
      <c r="D67" s="31" t="n">
        <f aca="false">D65-D66</f>
        <v>1.51</v>
      </c>
      <c r="E67" s="31" t="n">
        <f aca="false">E65-E66</f>
        <v>4.93</v>
      </c>
      <c r="F67" s="31" t="n">
        <f aca="false">F65-F66</f>
        <v>5.68</v>
      </c>
      <c r="G67" s="31" t="n">
        <f aca="false">G65-G66</f>
        <v>7.43</v>
      </c>
      <c r="H67" s="31" t="n">
        <f aca="false">H65-H66</f>
        <v>9.18</v>
      </c>
    </row>
    <row r="68" customFormat="false" ht="15" hidden="false" customHeight="true" outlineLevel="0" collapsed="false">
      <c r="B68" s="9" t="s">
        <v>78</v>
      </c>
      <c r="C68" s="13" t="n">
        <f aca="false">C67/C65</f>
        <v>0.619047619047619</v>
      </c>
      <c r="D68" s="13" t="n">
        <f aca="false">D67/D65</f>
        <v>0.695852534562212</v>
      </c>
      <c r="E68" s="13" t="n">
        <f aca="false">E67/E65</f>
        <v>0.71865889212828</v>
      </c>
      <c r="F68" s="13" t="n">
        <f aca="false">F67/F65</f>
        <v>0.708229426433915</v>
      </c>
      <c r="G68" s="13" t="n">
        <f aca="false">G67/G65</f>
        <v>0.705603038936372</v>
      </c>
      <c r="H68" s="13" t="n">
        <f aca="false">H67/H65</f>
        <v>0.701298701298701</v>
      </c>
    </row>
    <row r="69" customFormat="false" ht="15" hidden="false" customHeight="true" outlineLevel="0" collapsed="false">
      <c r="B69" s="9" t="s">
        <v>168</v>
      </c>
      <c r="C69" s="19" t="n">
        <v>0.7</v>
      </c>
      <c r="D69" s="19" t="n">
        <v>1.55</v>
      </c>
      <c r="E69" s="19" t="n">
        <v>1.8</v>
      </c>
      <c r="F69" s="19" t="n">
        <v>2.1</v>
      </c>
      <c r="J69" s="6" t="s">
        <v>169</v>
      </c>
    </row>
    <row r="70" customFormat="false" ht="15" hidden="false" customHeight="true" outlineLevel="0" collapsed="false">
      <c r="B70" s="9" t="s">
        <v>170</v>
      </c>
      <c r="C70" s="10" t="n">
        <f aca="false">C67-C69-C71</f>
        <v>0.7</v>
      </c>
      <c r="D70" s="10" t="n">
        <f aca="false">D67-D69-D71</f>
        <v>1.35</v>
      </c>
      <c r="E70" s="10" t="n">
        <f aca="false">E67-E69-E71</f>
        <v>1.617</v>
      </c>
      <c r="F70" s="10" t="n">
        <f aca="false">F67-F69-F71</f>
        <v>1.937</v>
      </c>
      <c r="J70" s="6" t="s">
        <v>171</v>
      </c>
    </row>
    <row r="71" customFormat="false" ht="15" hidden="false" customHeight="true" outlineLevel="0" collapsed="false">
      <c r="B71" s="7" t="s">
        <v>172</v>
      </c>
      <c r="C71" s="32" t="n">
        <v>-1.27</v>
      </c>
      <c r="D71" s="32" t="n">
        <v>-1.39</v>
      </c>
      <c r="E71" s="32" t="n">
        <v>1.513</v>
      </c>
      <c r="F71" s="32" t="n">
        <v>1.643</v>
      </c>
      <c r="G71" s="32" t="n">
        <v>2.6</v>
      </c>
      <c r="H71" s="32" t="n">
        <v>3.7</v>
      </c>
      <c r="J71" s="6" t="s">
        <v>173</v>
      </c>
    </row>
    <row r="72" customFormat="false" ht="15" hidden="false" customHeight="true" outlineLevel="0" collapsed="false">
      <c r="B72" s="9" t="s">
        <v>174</v>
      </c>
      <c r="C72" s="10" t="n">
        <f aca="false">C69+C70</f>
        <v>1.4</v>
      </c>
      <c r="D72" s="10" t="n">
        <f aca="false">D69+D70</f>
        <v>2.9</v>
      </c>
      <c r="E72" s="10" t="n">
        <f aca="false">E69+E70</f>
        <v>3.417</v>
      </c>
      <c r="F72" s="10" t="n">
        <f aca="false">F69+F70</f>
        <v>4.037</v>
      </c>
      <c r="G72" s="10" t="n">
        <f aca="false">G67-G71</f>
        <v>4.83</v>
      </c>
      <c r="H72" s="10" t="n">
        <f aca="false">H67-H71</f>
        <v>5.48</v>
      </c>
      <c r="J72" s="6" t="s">
        <v>175</v>
      </c>
    </row>
    <row r="73" customFormat="false" ht="15" hidden="false" customHeight="true" outlineLevel="0" collapsed="false">
      <c r="B73" s="9" t="s">
        <v>176</v>
      </c>
      <c r="C73" s="19" t="n">
        <v>0.03</v>
      </c>
      <c r="D73" s="19" t="n">
        <v>0.1</v>
      </c>
      <c r="E73" s="19" t="n">
        <v>0.17</v>
      </c>
      <c r="F73" s="19" t="n">
        <v>0.22</v>
      </c>
      <c r="J73" s="6" t="s">
        <v>177</v>
      </c>
    </row>
    <row r="75" customFormat="false" ht="15" hidden="false" customHeight="true" outlineLevel="0" collapsed="false">
      <c r="B75" s="4" t="s">
        <v>178</v>
      </c>
      <c r="C75" s="5"/>
      <c r="D75" s="5"/>
      <c r="E75" s="5"/>
      <c r="F75" s="5"/>
      <c r="G75" s="5"/>
      <c r="H75" s="5"/>
      <c r="I75" s="5"/>
      <c r="J75" s="5"/>
    </row>
    <row r="76" customFormat="false" ht="15" hidden="false" customHeight="true" outlineLevel="0" collapsed="false">
      <c r="B76" s="7" t="s">
        <v>162</v>
      </c>
      <c r="C76" s="8" t="s">
        <v>47</v>
      </c>
      <c r="D76" s="8" t="s">
        <v>48</v>
      </c>
      <c r="E76" s="8" t="s">
        <v>49</v>
      </c>
      <c r="F76" s="8" t="s">
        <v>50</v>
      </c>
      <c r="G76" s="8" t="s">
        <v>51</v>
      </c>
      <c r="H76" s="8" t="s">
        <v>52</v>
      </c>
      <c r="J76" s="7" t="s">
        <v>9</v>
      </c>
    </row>
    <row r="77" customFormat="false" ht="15" hidden="false" customHeight="true" outlineLevel="0" collapsed="false">
      <c r="B77" s="9" t="s">
        <v>172</v>
      </c>
      <c r="C77" s="10" t="n">
        <f aca="false">C71</f>
        <v>-1.27</v>
      </c>
      <c r="D77" s="10" t="n">
        <f aca="false">D71</f>
        <v>-1.39</v>
      </c>
      <c r="E77" s="10" t="n">
        <f aca="false">E71</f>
        <v>1.513</v>
      </c>
      <c r="F77" s="10" t="n">
        <f aca="false">F71</f>
        <v>1.643</v>
      </c>
      <c r="G77" s="10" t="n">
        <f aca="false">G71</f>
        <v>2.6</v>
      </c>
      <c r="H77" s="10" t="n">
        <f aca="false">H71</f>
        <v>3.7</v>
      </c>
    </row>
    <row r="78" customFormat="false" ht="15" hidden="false" customHeight="true" outlineLevel="0" collapsed="false">
      <c r="B78" s="9" t="s">
        <v>179</v>
      </c>
      <c r="C78" s="19" t="n">
        <v>0.15</v>
      </c>
      <c r="D78" s="19" t="n">
        <v>0.38</v>
      </c>
      <c r="E78" s="19" t="n">
        <v>0.326</v>
      </c>
      <c r="F78" s="19" t="n">
        <v>0.25</v>
      </c>
      <c r="G78" s="19" t="n">
        <v>0.15</v>
      </c>
      <c r="H78" s="19" t="n">
        <v>0</v>
      </c>
      <c r="J78" s="6" t="s">
        <v>180</v>
      </c>
    </row>
    <row r="79" customFormat="false" ht="15" hidden="false" customHeight="true" outlineLevel="0" collapsed="false">
      <c r="B79" s="9" t="s">
        <v>181</v>
      </c>
      <c r="C79" s="19" t="n">
        <v>0</v>
      </c>
      <c r="D79" s="19" t="n">
        <v>0</v>
      </c>
      <c r="E79" s="19" t="n">
        <v>0</v>
      </c>
      <c r="F79" s="19" t="n">
        <v>0</v>
      </c>
      <c r="G79" s="19" t="n">
        <v>0</v>
      </c>
      <c r="H79" s="19" t="n">
        <v>0</v>
      </c>
      <c r="J79" s="6" t="s">
        <v>182</v>
      </c>
    </row>
    <row r="80" customFormat="false" ht="15" hidden="false" customHeight="true" outlineLevel="0" collapsed="false">
      <c r="B80" s="9" t="s">
        <v>183</v>
      </c>
      <c r="C80" s="19" t="n">
        <v>4</v>
      </c>
      <c r="D80" s="19" t="n">
        <v>0</v>
      </c>
      <c r="E80" s="19" t="n">
        <v>0</v>
      </c>
      <c r="F80" s="19" t="n">
        <v>0</v>
      </c>
      <c r="G80" s="19" t="n">
        <v>0</v>
      </c>
      <c r="H80" s="19" t="n">
        <v>0</v>
      </c>
      <c r="J80" s="6" t="s">
        <v>184</v>
      </c>
    </row>
    <row r="81" customFormat="false" ht="15" hidden="false" customHeight="true" outlineLevel="0" collapsed="false">
      <c r="B81" s="7" t="s">
        <v>185</v>
      </c>
      <c r="C81" s="31" t="n">
        <f aca="false">C77-C78-C79+C80</f>
        <v>2.58</v>
      </c>
      <c r="D81" s="31" t="n">
        <f aca="false">D77-D78-D79+D80</f>
        <v>-1.77</v>
      </c>
      <c r="E81" s="31" t="n">
        <f aca="false">E77-E78-E79+E80</f>
        <v>1.187</v>
      </c>
      <c r="F81" s="31" t="n">
        <f aca="false">F77-F78-F79+F80</f>
        <v>1.393</v>
      </c>
      <c r="G81" s="31" t="n">
        <f aca="false">G77-G78-G79+G80</f>
        <v>2.45</v>
      </c>
      <c r="H81" s="31" t="n">
        <f aca="false">H77-H78-H79+H80</f>
        <v>3.7</v>
      </c>
    </row>
    <row r="82" customFormat="false" ht="15" hidden="false" customHeight="true" outlineLevel="0" collapsed="false">
      <c r="B82" s="9" t="s">
        <v>186</v>
      </c>
      <c r="C82" s="19" t="n">
        <v>0.35</v>
      </c>
      <c r="D82" s="10" t="n">
        <f aca="false">C83</f>
        <v>2.93</v>
      </c>
      <c r="E82" s="10" t="n">
        <f aca="false">D83</f>
        <v>1.16</v>
      </c>
      <c r="F82" s="10" t="n">
        <f aca="false">E83</f>
        <v>2.347</v>
      </c>
      <c r="G82" s="10" t="n">
        <f aca="false">F83</f>
        <v>3.74</v>
      </c>
      <c r="H82" s="10" t="n">
        <f aca="false">G83</f>
        <v>6.19</v>
      </c>
    </row>
    <row r="83" customFormat="false" ht="15" hidden="false" customHeight="true" outlineLevel="0" collapsed="false">
      <c r="B83" s="7" t="s">
        <v>187</v>
      </c>
      <c r="C83" s="31" t="n">
        <f aca="false">C82+C81</f>
        <v>2.93</v>
      </c>
      <c r="D83" s="31" t="n">
        <f aca="false">D82+D81</f>
        <v>1.16</v>
      </c>
      <c r="E83" s="31" t="n">
        <f aca="false">E82+E81</f>
        <v>2.347</v>
      </c>
      <c r="F83" s="31" t="n">
        <f aca="false">F82+F81</f>
        <v>3.74</v>
      </c>
      <c r="G83" s="31" t="n">
        <f aca="false">G82+G81</f>
        <v>6.19</v>
      </c>
      <c r="H83" s="31" t="n">
        <f aca="false">H82+H81</f>
        <v>9.89</v>
      </c>
      <c r="J83" s="6" t="s">
        <v>188</v>
      </c>
    </row>
    <row r="85" customFormat="false" ht="15" hidden="false" customHeight="true" outlineLevel="0" collapsed="false">
      <c r="B85" s="4" t="s">
        <v>189</v>
      </c>
      <c r="C85" s="5"/>
      <c r="D85" s="5"/>
      <c r="E85" s="5"/>
      <c r="F85" s="5"/>
      <c r="G85" s="5"/>
      <c r="H85" s="5"/>
      <c r="I85" s="5"/>
      <c r="J85" s="5"/>
    </row>
    <row r="86" customFormat="false" ht="15" hidden="false" customHeight="true" outlineLevel="0" collapsed="false">
      <c r="B86" s="7" t="s">
        <v>162</v>
      </c>
      <c r="C86" s="8" t="s">
        <v>47</v>
      </c>
      <c r="D86" s="8" t="s">
        <v>48</v>
      </c>
      <c r="E86" s="8" t="s">
        <v>49</v>
      </c>
      <c r="F86" s="8" t="s">
        <v>50</v>
      </c>
      <c r="G86" s="8"/>
      <c r="H86" s="8"/>
      <c r="J86" s="7" t="s">
        <v>9</v>
      </c>
    </row>
    <row r="87" customFormat="false" ht="15" hidden="false" customHeight="true" outlineLevel="0" collapsed="false">
      <c r="B87" s="9" t="s">
        <v>190</v>
      </c>
      <c r="C87" s="10" t="n">
        <f aca="false">C83</f>
        <v>2.93</v>
      </c>
      <c r="D87" s="10" t="n">
        <f aca="false">D83</f>
        <v>1.16</v>
      </c>
      <c r="E87" s="10" t="n">
        <f aca="false">E83</f>
        <v>2.347</v>
      </c>
      <c r="F87" s="10" t="n">
        <f aca="false">F83</f>
        <v>3.74</v>
      </c>
    </row>
    <row r="88" customFormat="false" ht="15" hidden="false" customHeight="true" outlineLevel="0" collapsed="false">
      <c r="B88" s="9" t="s">
        <v>191</v>
      </c>
      <c r="C88" s="19" t="n">
        <v>0</v>
      </c>
      <c r="D88" s="19" t="n">
        <v>0</v>
      </c>
      <c r="E88" s="19" t="n">
        <v>0</v>
      </c>
      <c r="F88" s="19" t="n">
        <v>0</v>
      </c>
      <c r="J88" s="6" t="s">
        <v>192</v>
      </c>
    </row>
    <row r="89" customFormat="false" ht="15" hidden="false" customHeight="true" outlineLevel="0" collapsed="false">
      <c r="B89" s="9" t="s">
        <v>193</v>
      </c>
      <c r="C89" s="10" t="n">
        <f aca="false">C78-C73</f>
        <v>0.12</v>
      </c>
      <c r="D89" s="10" t="n">
        <f aca="false">C89+D78-D73</f>
        <v>0.4</v>
      </c>
      <c r="E89" s="10" t="n">
        <f aca="false">D89+E78-E73</f>
        <v>0.556</v>
      </c>
      <c r="F89" s="10" t="n">
        <f aca="false">E89+F78-F73</f>
        <v>0.586</v>
      </c>
    </row>
    <row r="90" customFormat="false" ht="15" hidden="false" customHeight="true" outlineLevel="0" collapsed="false">
      <c r="B90" s="27" t="s">
        <v>194</v>
      </c>
      <c r="C90" s="33" t="n">
        <f aca="false">C87+C89</f>
        <v>3.05</v>
      </c>
      <c r="D90" s="33" t="n">
        <f aca="false">D87+D89</f>
        <v>1.56</v>
      </c>
      <c r="E90" s="33" t="n">
        <f aca="false">E87+E89</f>
        <v>2.903</v>
      </c>
      <c r="F90" s="33" t="n">
        <f aca="false">F87+F89</f>
        <v>4.326</v>
      </c>
    </row>
    <row r="91" customFormat="false" ht="15" hidden="false" customHeight="true" outlineLevel="0" collapsed="false">
      <c r="B91" s="9" t="s">
        <v>195</v>
      </c>
      <c r="C91" s="10" t="n">
        <f aca="false">C90</f>
        <v>3.05</v>
      </c>
      <c r="D91" s="10" t="n">
        <f aca="false">D90</f>
        <v>1.56</v>
      </c>
      <c r="E91" s="10" t="n">
        <f aca="false">E90</f>
        <v>2.903</v>
      </c>
      <c r="F91" s="10" t="n">
        <f aca="false">F90</f>
        <v>4.326</v>
      </c>
      <c r="J91" s="6" t="s">
        <v>196</v>
      </c>
    </row>
    <row r="93" customFormat="false" ht="15" hidden="false" customHeight="true" outlineLevel="0" collapsed="false">
      <c r="B93" s="4" t="s">
        <v>197</v>
      </c>
      <c r="C93" s="5"/>
      <c r="D93" s="5"/>
      <c r="E93" s="5"/>
      <c r="F93" s="5"/>
      <c r="G93" s="5"/>
      <c r="H93" s="5"/>
      <c r="I93" s="5"/>
      <c r="J93" s="5"/>
    </row>
    <row r="94" customFormat="false" ht="15" hidden="false" customHeight="true" outlineLevel="0" collapsed="false">
      <c r="B94" s="9" t="s">
        <v>198</v>
      </c>
      <c r="C94" s="19" t="n">
        <v>5</v>
      </c>
      <c r="J94" s="6" t="s">
        <v>199</v>
      </c>
    </row>
    <row r="95" customFormat="false" ht="15" hidden="false" customHeight="true" outlineLevel="0" collapsed="false">
      <c r="B95" s="9" t="s">
        <v>200</v>
      </c>
      <c r="C95" s="10" t="n">
        <f aca="false">C94*F65</f>
        <v>40.1</v>
      </c>
    </row>
    <row r="96" customFormat="false" ht="15" hidden="false" customHeight="true" outlineLevel="0" collapsed="false">
      <c r="B96" s="9" t="s">
        <v>201</v>
      </c>
      <c r="C96" s="10" t="n">
        <f aca="false">F83</f>
        <v>3.74</v>
      </c>
    </row>
    <row r="97" customFormat="false" ht="15" hidden="false" customHeight="true" outlineLevel="0" collapsed="false">
      <c r="B97" s="7" t="s">
        <v>202</v>
      </c>
      <c r="C97" s="31" t="n">
        <f aca="false">C95+C96</f>
        <v>43.84</v>
      </c>
    </row>
    <row r="99" customFormat="false" ht="15" hidden="false" customHeight="true" outlineLevel="0" collapsed="false">
      <c r="B99" s="7" t="s">
        <v>203</v>
      </c>
      <c r="C99" s="8" t="s">
        <v>204</v>
      </c>
      <c r="D99" s="8" t="s">
        <v>205</v>
      </c>
      <c r="E99" s="8" t="s">
        <v>206</v>
      </c>
      <c r="F99" s="8" t="s">
        <v>207</v>
      </c>
      <c r="G99" s="8" t="s">
        <v>208</v>
      </c>
      <c r="J99" s="7" t="s">
        <v>9</v>
      </c>
    </row>
    <row r="100" customFormat="false" ht="15" hidden="false" customHeight="true" outlineLevel="0" collapsed="false">
      <c r="B100" s="9" t="s">
        <v>209</v>
      </c>
      <c r="C100" s="34" t="n">
        <v>0.709</v>
      </c>
      <c r="D100" s="19" t="n">
        <v>14</v>
      </c>
      <c r="E100" s="19" t="n">
        <v>2</v>
      </c>
      <c r="F100" s="10" t="n">
        <f aca="false">MAX(IF(E100="",0,E100),C100*$C$97)</f>
        <v>31.08256</v>
      </c>
      <c r="G100" s="12" t="n">
        <f aca="false">F100/D100</f>
        <v>2.22018285714286</v>
      </c>
      <c r="J100" s="6" t="s">
        <v>210</v>
      </c>
    </row>
    <row r="101" customFormat="false" ht="15" hidden="false" customHeight="true" outlineLevel="0" collapsed="false">
      <c r="B101" s="9" t="s">
        <v>211</v>
      </c>
      <c r="C101" s="34" t="n">
        <v>0.034</v>
      </c>
      <c r="F101" s="10" t="n">
        <f aca="false">MAX(IF(E101="",0,E101),C101*$C$97)</f>
        <v>1.49056</v>
      </c>
    </row>
    <row r="102" customFormat="false" ht="15" hidden="false" customHeight="true" outlineLevel="0" collapsed="false">
      <c r="B102" s="9" t="s">
        <v>212</v>
      </c>
      <c r="C102" s="34" t="n">
        <v>0.015</v>
      </c>
      <c r="F102" s="10" t="n">
        <f aca="false">MAX(IF(E102="",0,E102),C102*$C$97)</f>
        <v>0.6576</v>
      </c>
    </row>
    <row r="103" customFormat="false" ht="15" hidden="false" customHeight="true" outlineLevel="0" collapsed="false">
      <c r="B103" s="9" t="s">
        <v>213</v>
      </c>
      <c r="C103" s="34" t="n">
        <v>0.1421</v>
      </c>
      <c r="D103" s="19" t="n">
        <v>3</v>
      </c>
      <c r="E103" s="19" t="n">
        <v>3</v>
      </c>
      <c r="F103" s="10" t="n">
        <f aca="false">MAX(IF(E103="",0,E103),C103*$C$97)</f>
        <v>6.229664</v>
      </c>
      <c r="G103" s="12" t="n">
        <f aca="false">F103/D103</f>
        <v>2.07655466666667</v>
      </c>
      <c r="J103" s="6" t="s">
        <v>214</v>
      </c>
    </row>
    <row r="104" customFormat="false" ht="15" hidden="false" customHeight="true" outlineLevel="0" collapsed="false">
      <c r="B104" s="9" t="s">
        <v>215</v>
      </c>
      <c r="C104" s="34" t="n">
        <v>0.1</v>
      </c>
      <c r="F104" s="10" t="n">
        <f aca="false">MAX(IF(E104="",0,E104),C104*$C$97)</f>
        <v>4.384</v>
      </c>
      <c r="J104" s="6" t="s">
        <v>216</v>
      </c>
    </row>
    <row r="105" customFormat="false" ht="15" hidden="false" customHeight="true" outlineLevel="0" collapsed="false">
      <c r="B105" s="27" t="s">
        <v>217</v>
      </c>
      <c r="C105" s="35"/>
      <c r="D105" s="35"/>
      <c r="E105" s="35"/>
      <c r="F105" s="33" t="n">
        <f aca="false">SUM(F100:F104)</f>
        <v>43.844384</v>
      </c>
      <c r="G105" s="35"/>
      <c r="J105" s="15" t="s">
        <v>218</v>
      </c>
    </row>
    <row r="107" customFormat="false" ht="15" hidden="false" customHeight="true" outlineLevel="0" collapsed="false">
      <c r="B107" s="7" t="s">
        <v>219</v>
      </c>
      <c r="C107" s="31" t="n">
        <f aca="false">2/3*F103</f>
        <v>4.15310933333333</v>
      </c>
      <c r="D107" s="36" t="n">
        <f aca="false">C107/2</f>
        <v>2.07655466666667</v>
      </c>
      <c r="E107" s="37" t="n">
        <f aca="false">(C107/2)^(1/3)-1</f>
        <v>0.275795667227006</v>
      </c>
      <c r="J107" s="15" t="s">
        <v>220</v>
      </c>
    </row>
    <row r="108" customFormat="false" ht="15" hidden="false" customHeight="true" outlineLevel="0" collapsed="false">
      <c r="B108" s="9" t="s">
        <v>221</v>
      </c>
      <c r="C108" s="11" t="n">
        <f aca="false">2/3*C103</f>
        <v>0.0947333333333333</v>
      </c>
      <c r="J108" s="15" t="s">
        <v>222</v>
      </c>
    </row>
    <row r="110" customFormat="false" ht="27.75" hidden="false" customHeight="true" outlineLevel="0" collapsed="false">
      <c r="B110" s="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.5"/>
    <col collapsed="false" customWidth="true" hidden="false" outlineLevel="0" max="2" min="2" style="1" width="47"/>
    <col collapsed="false" customWidth="true" hidden="false" outlineLevel="0" max="8" min="3" style="1" width="10.5"/>
    <col collapsed="false" customWidth="true" hidden="false" outlineLevel="0" max="9" min="9" style="1" width="2"/>
    <col collapsed="false" customWidth="true" hidden="false" outlineLevel="0" max="10" min="10" style="1" width="100"/>
  </cols>
  <sheetData>
    <row r="2" customFormat="false" ht="15.75" hidden="false" customHeight="true" outlineLevel="0" collapsed="false">
      <c r="B2" s="2" t="s">
        <v>224</v>
      </c>
    </row>
    <row r="3" customFormat="false" ht="15" hidden="false" customHeight="true" outlineLevel="0" collapsed="false">
      <c r="B3" s="3" t="s">
        <v>225</v>
      </c>
    </row>
    <row r="5" customFormat="false" ht="15" hidden="false" customHeight="true" outlineLevel="0" collapsed="false">
      <c r="B5" s="4" t="s">
        <v>226</v>
      </c>
      <c r="C5" s="5"/>
      <c r="D5" s="5"/>
      <c r="E5" s="5"/>
      <c r="F5" s="5"/>
      <c r="G5" s="5"/>
      <c r="H5" s="5"/>
      <c r="I5" s="5"/>
      <c r="J5" s="5"/>
    </row>
    <row r="6" customFormat="false" ht="15" hidden="false" customHeight="true" outlineLevel="0" collapsed="false">
      <c r="B6" s="7"/>
      <c r="C6" s="8" t="s">
        <v>47</v>
      </c>
      <c r="D6" s="8" t="s">
        <v>48</v>
      </c>
      <c r="E6" s="8" t="s">
        <v>49</v>
      </c>
      <c r="F6" s="8" t="s">
        <v>50</v>
      </c>
      <c r="G6" s="8"/>
      <c r="H6" s="8"/>
      <c r="J6" s="7"/>
    </row>
    <row r="7" customFormat="false" ht="15" hidden="false" customHeight="true" outlineLevel="0" collapsed="false">
      <c r="B7" s="9"/>
      <c r="C7" s="17" t="s">
        <v>227</v>
      </c>
      <c r="D7" s="17" t="s">
        <v>228</v>
      </c>
      <c r="E7" s="17" t="s">
        <v>229</v>
      </c>
      <c r="F7" s="17" t="s">
        <v>230</v>
      </c>
    </row>
    <row r="9" customFormat="false" ht="15" hidden="false" customHeight="true" outlineLevel="0" collapsed="false">
      <c r="B9" s="4" t="s">
        <v>231</v>
      </c>
      <c r="C9" s="5"/>
      <c r="D9" s="5"/>
      <c r="E9" s="5"/>
      <c r="F9" s="5"/>
      <c r="G9" s="5"/>
      <c r="H9" s="5"/>
      <c r="I9" s="5"/>
      <c r="J9" s="5"/>
    </row>
    <row r="10" customFormat="false" ht="18.75" hidden="false" customHeight="true" outlineLevel="0" collapsed="false">
      <c r="B10" s="38" t="s">
        <v>232</v>
      </c>
      <c r="J10" s="6" t="s">
        <v>233</v>
      </c>
    </row>
    <row r="11" customFormat="false" ht="18.75" hidden="false" customHeight="true" outlineLevel="0" collapsed="false">
      <c r="B11" s="38" t="s">
        <v>234</v>
      </c>
      <c r="J11" s="6" t="s">
        <v>235</v>
      </c>
    </row>
    <row r="12" customFormat="false" ht="18.75" hidden="false" customHeight="true" outlineLevel="0" collapsed="false">
      <c r="B12" s="38" t="s">
        <v>236</v>
      </c>
      <c r="J12" s="6" t="s">
        <v>237</v>
      </c>
    </row>
    <row r="13" customFormat="false" ht="18.75" hidden="false" customHeight="true" outlineLevel="0" collapsed="false">
      <c r="B13" s="38" t="s">
        <v>238</v>
      </c>
      <c r="J13" s="6" t="s">
        <v>239</v>
      </c>
    </row>
    <row r="14" customFormat="false" ht="18.75" hidden="false" customHeight="true" outlineLevel="0" collapsed="false">
      <c r="B14" s="38" t="s">
        <v>240</v>
      </c>
      <c r="J14" s="6" t="s">
        <v>241</v>
      </c>
    </row>
    <row r="16" customFormat="false" ht="15" hidden="false" customHeight="true" outlineLevel="0" collapsed="false">
      <c r="B16" s="4" t="s">
        <v>242</v>
      </c>
      <c r="C16" s="5"/>
      <c r="D16" s="5"/>
      <c r="E16" s="5"/>
      <c r="F16" s="5"/>
      <c r="G16" s="5"/>
      <c r="H16" s="5"/>
      <c r="I16" s="5"/>
      <c r="J16" s="5"/>
    </row>
    <row r="17" customFormat="false" ht="18.75" hidden="false" customHeight="true" outlineLevel="0" collapsed="false">
      <c r="B17" s="9" t="s">
        <v>243</v>
      </c>
      <c r="C17" s="39" t="s">
        <v>244</v>
      </c>
      <c r="J17" s="6" t="s">
        <v>245</v>
      </c>
    </row>
    <row r="18" customFormat="false" ht="15" hidden="false" customHeight="true" outlineLevel="0" collapsed="false">
      <c r="B18" s="9" t="s">
        <v>165</v>
      </c>
      <c r="C18" s="40" t="n">
        <v>0.4</v>
      </c>
      <c r="J18" s="6" t="s">
        <v>246</v>
      </c>
    </row>
    <row r="19" customFormat="false" ht="15" hidden="false" customHeight="true" outlineLevel="0" collapsed="false">
      <c r="B19" s="9" t="s">
        <v>247</v>
      </c>
      <c r="C19" s="40" t="n">
        <v>0.9</v>
      </c>
      <c r="J19" s="6" t="s">
        <v>248</v>
      </c>
    </row>
    <row r="20" customFormat="false" ht="15" hidden="false" customHeight="true" outlineLevel="0" collapsed="false">
      <c r="B20" s="9" t="s">
        <v>249</v>
      </c>
      <c r="C20" s="40" t="n">
        <v>0.15</v>
      </c>
      <c r="J20" s="6" t="s">
        <v>250</v>
      </c>
    </row>
    <row r="21" customFormat="false" ht="15" hidden="false" customHeight="true" outlineLevel="0" collapsed="false">
      <c r="B21" s="9" t="s">
        <v>251</v>
      </c>
      <c r="C21" s="39" t="s">
        <v>252</v>
      </c>
      <c r="J21" s="6" t="s">
        <v>253</v>
      </c>
    </row>
    <row r="22" customFormat="false" ht="15" hidden="false" customHeight="true" outlineLevel="0" collapsed="false">
      <c r="B22" s="9" t="s">
        <v>254</v>
      </c>
      <c r="C22" s="41" t="n">
        <v>5</v>
      </c>
      <c r="J22" s="6" t="s">
        <v>255</v>
      </c>
    </row>
    <row r="23" customFormat="false" ht="15" hidden="false" customHeight="true" outlineLevel="0" collapsed="false">
      <c r="B23" s="9" t="s">
        <v>256</v>
      </c>
      <c r="C23" s="41" t="n">
        <v>5</v>
      </c>
      <c r="J23" s="6" t="s">
        <v>257</v>
      </c>
    </row>
    <row r="25" customFormat="false" ht="15" hidden="false" customHeight="true" outlineLevel="0" collapsed="false">
      <c r="B25" s="4" t="s">
        <v>258</v>
      </c>
      <c r="C25" s="5"/>
      <c r="D25" s="5"/>
      <c r="E25" s="5"/>
      <c r="F25" s="5"/>
      <c r="G25" s="5"/>
      <c r="H25" s="5"/>
      <c r="I25" s="5"/>
      <c r="J25" s="5"/>
    </row>
    <row r="26" customFormat="false" ht="15" hidden="false" customHeight="true" outlineLevel="0" collapsed="false">
      <c r="B26" s="7" t="s">
        <v>162</v>
      </c>
      <c r="C26" s="8" t="s">
        <v>47</v>
      </c>
      <c r="D26" s="8" t="s">
        <v>48</v>
      </c>
      <c r="E26" s="8" t="s">
        <v>49</v>
      </c>
      <c r="F26" s="8" t="s">
        <v>50</v>
      </c>
      <c r="G26" s="8"/>
      <c r="H26" s="8"/>
      <c r="J26" s="7" t="s">
        <v>9</v>
      </c>
    </row>
    <row r="27" customFormat="false" ht="18.75" hidden="false" customHeight="true" outlineLevel="0" collapsed="false">
      <c r="B27" s="9" t="s">
        <v>259</v>
      </c>
      <c r="C27" s="41" t="n">
        <v>0.3</v>
      </c>
      <c r="D27" s="41" t="n">
        <v>0.9</v>
      </c>
      <c r="E27" s="41" t="n">
        <v>2.6</v>
      </c>
      <c r="F27" s="41" t="n">
        <v>4.5</v>
      </c>
      <c r="J27" s="6" t="s">
        <v>260</v>
      </c>
    </row>
    <row r="28" customFormat="false" ht="15" hidden="false" customHeight="true" outlineLevel="0" collapsed="false">
      <c r="B28" s="9" t="s">
        <v>261</v>
      </c>
      <c r="C28" s="41" t="n">
        <v>0</v>
      </c>
      <c r="D28" s="41" t="n">
        <v>0</v>
      </c>
      <c r="E28" s="41" t="n">
        <v>0.4</v>
      </c>
      <c r="F28" s="41" t="n">
        <v>1.5</v>
      </c>
      <c r="J28" s="6" t="s">
        <v>262</v>
      </c>
    </row>
    <row r="29" customFormat="false" ht="15" hidden="false" customHeight="true" outlineLevel="0" collapsed="false">
      <c r="B29" s="9" t="s">
        <v>263</v>
      </c>
      <c r="C29" s="41" t="n">
        <v>0</v>
      </c>
      <c r="D29" s="41" t="n">
        <v>0</v>
      </c>
      <c r="E29" s="41" t="n">
        <v>0</v>
      </c>
      <c r="F29" s="41" t="n">
        <v>0</v>
      </c>
      <c r="J29" s="6" t="s">
        <v>264</v>
      </c>
    </row>
    <row r="30" customFormat="false" ht="15" hidden="false" customHeight="true" outlineLevel="0" collapsed="false">
      <c r="B30" s="27" t="s">
        <v>163</v>
      </c>
      <c r="C30" s="33" t="n">
        <f aca="false">SUM(C27:C29)</f>
        <v>0.3</v>
      </c>
      <c r="D30" s="33" t="n">
        <f aca="false">SUM(D27:D29)</f>
        <v>0.9</v>
      </c>
      <c r="E30" s="33" t="n">
        <f aca="false">SUM(E27:E29)</f>
        <v>3</v>
      </c>
      <c r="F30" s="33" t="n">
        <f aca="false">SUM(F27:F29)</f>
        <v>6</v>
      </c>
    </row>
    <row r="31" customFormat="false" ht="15" hidden="false" customHeight="true" outlineLevel="0" collapsed="false">
      <c r="B31" s="9" t="s">
        <v>265</v>
      </c>
      <c r="C31" s="10" t="n">
        <f aca="false">'Case 1 - As Given'!C65</f>
        <v>0.21</v>
      </c>
      <c r="D31" s="10" t="n">
        <f aca="false">'Case 1 - As Given'!D65</f>
        <v>2.17</v>
      </c>
      <c r="E31" s="10" t="n">
        <f aca="false">'Case 1 - As Given'!E65</f>
        <v>6.86</v>
      </c>
      <c r="F31" s="10" t="n">
        <f aca="false">'Case 1 - As Given'!F65</f>
        <v>8.02</v>
      </c>
      <c r="J31" s="6" t="s">
        <v>266</v>
      </c>
    </row>
    <row r="32" customFormat="false" ht="15" hidden="false" customHeight="true" outlineLevel="0" collapsed="false">
      <c r="B32" s="9" t="s">
        <v>267</v>
      </c>
      <c r="C32" s="10" t="n">
        <f aca="false">C31-C30</f>
        <v>-0.09</v>
      </c>
      <c r="D32" s="10" t="n">
        <f aca="false">D31-D30</f>
        <v>1.27</v>
      </c>
      <c r="E32" s="10" t="n">
        <f aca="false">E31-E30</f>
        <v>3.86</v>
      </c>
      <c r="F32" s="10" t="n">
        <f aca="false">F31-F30</f>
        <v>2.02</v>
      </c>
    </row>
    <row r="34" customFormat="false" ht="15" hidden="false" customHeight="true" outlineLevel="0" collapsed="false">
      <c r="B34" s="4" t="s">
        <v>268</v>
      </c>
      <c r="C34" s="5"/>
      <c r="D34" s="5"/>
      <c r="E34" s="5"/>
      <c r="F34" s="5"/>
      <c r="G34" s="5"/>
      <c r="H34" s="5"/>
      <c r="I34" s="5"/>
      <c r="J34" s="5"/>
    </row>
    <row r="35" customFormat="false" ht="15" hidden="false" customHeight="true" outlineLevel="0" collapsed="false">
      <c r="B35" s="7" t="s">
        <v>162</v>
      </c>
      <c r="C35" s="8" t="s">
        <v>47</v>
      </c>
      <c r="D35" s="8" t="s">
        <v>48</v>
      </c>
      <c r="E35" s="8" t="s">
        <v>49</v>
      </c>
      <c r="F35" s="8" t="s">
        <v>50</v>
      </c>
      <c r="G35" s="8"/>
      <c r="H35" s="8"/>
      <c r="J35" s="7" t="s">
        <v>9</v>
      </c>
    </row>
    <row r="36" customFormat="false" ht="15" hidden="false" customHeight="true" outlineLevel="0" collapsed="false">
      <c r="B36" s="9" t="s">
        <v>269</v>
      </c>
      <c r="C36" s="41" t="n">
        <v>0.15</v>
      </c>
      <c r="D36" s="41" t="n">
        <v>0.3</v>
      </c>
      <c r="E36" s="41" t="n">
        <v>0</v>
      </c>
      <c r="F36" s="41" t="n">
        <v>0</v>
      </c>
      <c r="J36" s="6" t="s">
        <v>270</v>
      </c>
    </row>
    <row r="37" customFormat="false" ht="15" hidden="false" customHeight="true" outlineLevel="0" collapsed="false">
      <c r="B37" s="9" t="s">
        <v>271</v>
      </c>
      <c r="C37" s="41" t="n">
        <v>0.05</v>
      </c>
      <c r="D37" s="41" t="n">
        <v>0.15</v>
      </c>
      <c r="E37" s="41" t="n">
        <v>0.1</v>
      </c>
      <c r="F37" s="41" t="n">
        <v>0</v>
      </c>
      <c r="J37" s="6" t="s">
        <v>272</v>
      </c>
    </row>
    <row r="38" customFormat="false" ht="15" hidden="false" customHeight="true" outlineLevel="0" collapsed="false">
      <c r="B38" s="9" t="s">
        <v>273</v>
      </c>
      <c r="C38" s="41" t="n">
        <v>0</v>
      </c>
      <c r="D38" s="41" t="n">
        <v>0.2</v>
      </c>
      <c r="E38" s="41" t="n">
        <v>0.2</v>
      </c>
      <c r="F38" s="41" t="n">
        <v>0</v>
      </c>
      <c r="J38" s="6" t="s">
        <v>274</v>
      </c>
    </row>
    <row r="39" customFormat="false" ht="15" hidden="false" customHeight="true" outlineLevel="0" collapsed="false">
      <c r="B39" s="9" t="s">
        <v>275</v>
      </c>
      <c r="C39" s="41" t="n">
        <v>0</v>
      </c>
      <c r="D39" s="41" t="n">
        <v>0.1</v>
      </c>
      <c r="E39" s="41" t="n">
        <v>0.1</v>
      </c>
      <c r="F39" s="41" t="n">
        <v>0.1</v>
      </c>
      <c r="J39" s="6" t="s">
        <v>276</v>
      </c>
    </row>
    <row r="40" customFormat="false" ht="15" hidden="false" customHeight="true" outlineLevel="0" collapsed="false">
      <c r="B40" s="9" t="s">
        <v>277</v>
      </c>
      <c r="C40" s="41" t="n">
        <v>0.1</v>
      </c>
      <c r="D40" s="41" t="n">
        <v>0.15</v>
      </c>
      <c r="E40" s="41" t="n">
        <v>0.1</v>
      </c>
      <c r="F40" s="41" t="n">
        <v>0</v>
      </c>
      <c r="J40" s="6" t="s">
        <v>278</v>
      </c>
    </row>
    <row r="41" customFormat="false" ht="15" hidden="false" customHeight="true" outlineLevel="0" collapsed="false">
      <c r="B41" s="9" t="s">
        <v>279</v>
      </c>
      <c r="C41" s="41" t="n">
        <v>0</v>
      </c>
      <c r="D41" s="41" t="n">
        <v>0.05</v>
      </c>
      <c r="E41" s="41" t="n">
        <v>0.1</v>
      </c>
      <c r="F41" s="41" t="n">
        <v>0.096</v>
      </c>
      <c r="J41" s="6" t="s">
        <v>280</v>
      </c>
    </row>
    <row r="42" customFormat="false" ht="15" hidden="false" customHeight="true" outlineLevel="0" collapsed="false">
      <c r="B42" s="9" t="s">
        <v>281</v>
      </c>
      <c r="C42" s="41" t="n">
        <v>0.1</v>
      </c>
      <c r="D42" s="41" t="n">
        <v>0.05</v>
      </c>
      <c r="E42" s="41" t="n">
        <v>0</v>
      </c>
      <c r="F42" s="41" t="n">
        <v>0</v>
      </c>
      <c r="J42" s="6" t="s">
        <v>282</v>
      </c>
    </row>
    <row r="43" customFormat="false" ht="15" hidden="false" customHeight="true" outlineLevel="0" collapsed="false">
      <c r="B43" s="27" t="s">
        <v>283</v>
      </c>
      <c r="C43" s="33" t="n">
        <f aca="false">SUM(C36:C42)</f>
        <v>0.4</v>
      </c>
      <c r="D43" s="33" t="n">
        <f aca="false">SUM(D36:D42)</f>
        <v>1</v>
      </c>
      <c r="E43" s="33" t="n">
        <f aca="false">SUM(E36:E42)</f>
        <v>0.6</v>
      </c>
      <c r="F43" s="33" t="n">
        <f aca="false">SUM(F36:F42)</f>
        <v>0.196</v>
      </c>
      <c r="J43" s="6" t="s">
        <v>284</v>
      </c>
    </row>
    <row r="45" customFormat="false" ht="15" hidden="false" customHeight="true" outlineLevel="0" collapsed="false">
      <c r="B45" s="4" t="s">
        <v>285</v>
      </c>
      <c r="C45" s="5"/>
      <c r="D45" s="5"/>
      <c r="E45" s="5"/>
      <c r="F45" s="5"/>
      <c r="G45" s="5"/>
      <c r="H45" s="5"/>
      <c r="I45" s="5"/>
      <c r="J45" s="5"/>
    </row>
    <row r="46" customFormat="false" ht="15" hidden="false" customHeight="true" outlineLevel="0" collapsed="false">
      <c r="B46" s="7" t="s">
        <v>162</v>
      </c>
      <c r="C46" s="8" t="s">
        <v>47</v>
      </c>
      <c r="D46" s="8" t="s">
        <v>48</v>
      </c>
      <c r="E46" s="8" t="s">
        <v>49</v>
      </c>
      <c r="F46" s="8" t="s">
        <v>50</v>
      </c>
      <c r="G46" s="8"/>
      <c r="H46" s="8"/>
      <c r="J46" s="7" t="s">
        <v>9</v>
      </c>
    </row>
    <row r="47" customFormat="false" ht="15" hidden="false" customHeight="true" outlineLevel="0" collapsed="false">
      <c r="B47" s="9" t="s">
        <v>163</v>
      </c>
      <c r="C47" s="10" t="n">
        <f aca="false">C30</f>
        <v>0.3</v>
      </c>
      <c r="D47" s="10" t="n">
        <f aca="false">D30</f>
        <v>0.9</v>
      </c>
      <c r="E47" s="10" t="n">
        <f aca="false">E30</f>
        <v>3</v>
      </c>
      <c r="F47" s="10" t="n">
        <f aca="false">F30</f>
        <v>6</v>
      </c>
    </row>
    <row r="48" customFormat="false" ht="15" hidden="false" customHeight="true" outlineLevel="0" collapsed="false">
      <c r="B48" s="9" t="s">
        <v>286</v>
      </c>
      <c r="C48" s="10" t="n">
        <f aca="false">$C$18*C47</f>
        <v>0.12</v>
      </c>
      <c r="D48" s="10" t="n">
        <f aca="false">$C$18*D47</f>
        <v>0.36</v>
      </c>
      <c r="E48" s="10" t="n">
        <f aca="false">$C$18*E47</f>
        <v>1.2</v>
      </c>
      <c r="F48" s="10" t="n">
        <f aca="false">$C$18*F47</f>
        <v>2.4</v>
      </c>
    </row>
    <row r="49" customFormat="false" ht="15" hidden="false" customHeight="true" outlineLevel="0" collapsed="false">
      <c r="B49" s="7" t="s">
        <v>167</v>
      </c>
      <c r="C49" s="31" t="n">
        <f aca="false">C47-C48</f>
        <v>0.18</v>
      </c>
      <c r="D49" s="31" t="n">
        <f aca="false">D47-D48</f>
        <v>0.54</v>
      </c>
      <c r="E49" s="31" t="n">
        <f aca="false">E47-E48</f>
        <v>1.8</v>
      </c>
      <c r="F49" s="31" t="n">
        <f aca="false">F47-F48</f>
        <v>3.6</v>
      </c>
    </row>
    <row r="50" customFormat="false" ht="15" hidden="false" customHeight="true" outlineLevel="0" collapsed="false">
      <c r="B50" s="9" t="s">
        <v>78</v>
      </c>
      <c r="C50" s="13" t="n">
        <f aca="false">C49/C47</f>
        <v>0.6</v>
      </c>
      <c r="D50" s="13" t="n">
        <f aca="false">D49/D47</f>
        <v>0.6</v>
      </c>
      <c r="E50" s="13" t="n">
        <f aca="false">E49/E47</f>
        <v>0.6</v>
      </c>
      <c r="F50" s="13" t="n">
        <f aca="false">F49/F47</f>
        <v>0.6</v>
      </c>
    </row>
    <row r="51" customFormat="false" ht="15" hidden="false" customHeight="true" outlineLevel="0" collapsed="false">
      <c r="B51" s="9" t="s">
        <v>287</v>
      </c>
      <c r="C51" s="41" t="n">
        <v>0.6995</v>
      </c>
      <c r="D51" s="41" t="n">
        <v>1.45</v>
      </c>
      <c r="E51" s="41" t="n">
        <v>1.7</v>
      </c>
      <c r="F51" s="41" t="n">
        <v>1.95</v>
      </c>
    </row>
    <row r="52" customFormat="false" ht="15" hidden="false" customHeight="true" outlineLevel="0" collapsed="false">
      <c r="B52" s="9" t="s">
        <v>288</v>
      </c>
      <c r="C52" s="41" t="n">
        <v>0.65</v>
      </c>
      <c r="D52" s="41" t="n">
        <v>1.2</v>
      </c>
      <c r="E52" s="41" t="n">
        <v>1.45</v>
      </c>
      <c r="F52" s="41" t="n">
        <v>1.7</v>
      </c>
      <c r="J52" s="6" t="s">
        <v>289</v>
      </c>
    </row>
    <row r="53" customFormat="false" ht="15" hidden="false" customHeight="true" outlineLevel="0" collapsed="false">
      <c r="B53" s="39" t="s">
        <v>290</v>
      </c>
      <c r="C53" s="10" t="n">
        <f aca="false">C43</f>
        <v>0.4</v>
      </c>
      <c r="D53" s="10" t="n">
        <f aca="false">D43</f>
        <v>1</v>
      </c>
      <c r="E53" s="10" t="n">
        <f aca="false">E43</f>
        <v>0.6</v>
      </c>
      <c r="F53" s="10" t="n">
        <f aca="false">F43</f>
        <v>0.196</v>
      </c>
    </row>
    <row r="54" customFormat="false" ht="15" hidden="false" customHeight="true" outlineLevel="0" collapsed="false">
      <c r="B54" s="7" t="s">
        <v>172</v>
      </c>
      <c r="C54" s="31" t="n">
        <f aca="false">C49-C51-C52-C53</f>
        <v>-1.5695</v>
      </c>
      <c r="D54" s="31" t="n">
        <f aca="false">D49-D51-D52-D53</f>
        <v>-3.11</v>
      </c>
      <c r="E54" s="31" t="n">
        <f aca="false">E49-E51-E52-E53</f>
        <v>-1.95</v>
      </c>
      <c r="F54" s="31" t="n">
        <f aca="false">F49-F51-F52-F53</f>
        <v>-0.246</v>
      </c>
      <c r="J54" s="6" t="s">
        <v>291</v>
      </c>
    </row>
    <row r="55" customFormat="false" ht="15" hidden="false" customHeight="true" outlineLevel="0" collapsed="false">
      <c r="B55" s="9" t="s">
        <v>176</v>
      </c>
      <c r="C55" s="41" t="n">
        <v>0.03</v>
      </c>
      <c r="D55" s="41" t="n">
        <v>0.11</v>
      </c>
      <c r="E55" s="41" t="n">
        <v>0.18</v>
      </c>
      <c r="F55" s="41" t="n">
        <v>0.23</v>
      </c>
    </row>
    <row r="57" customFormat="false" ht="15" hidden="false" customHeight="true" outlineLevel="0" collapsed="false">
      <c r="B57" s="4" t="s">
        <v>292</v>
      </c>
      <c r="C57" s="5"/>
      <c r="D57" s="5"/>
      <c r="E57" s="5"/>
      <c r="F57" s="5"/>
      <c r="G57" s="5"/>
      <c r="H57" s="5"/>
      <c r="I57" s="5"/>
      <c r="J57" s="5"/>
    </row>
    <row r="58" customFormat="false" ht="15" hidden="false" customHeight="true" outlineLevel="0" collapsed="false">
      <c r="B58" s="7" t="s">
        <v>162</v>
      </c>
      <c r="C58" s="8" t="s">
        <v>47</v>
      </c>
      <c r="D58" s="8" t="s">
        <v>48</v>
      </c>
      <c r="E58" s="8" t="s">
        <v>49</v>
      </c>
      <c r="F58" s="8" t="s">
        <v>50</v>
      </c>
      <c r="G58" s="8"/>
      <c r="H58" s="8"/>
      <c r="J58" s="7" t="s">
        <v>9</v>
      </c>
    </row>
    <row r="59" customFormat="false" ht="15" hidden="false" customHeight="true" outlineLevel="0" collapsed="false">
      <c r="B59" s="9" t="s">
        <v>172</v>
      </c>
      <c r="C59" s="10" t="n">
        <f aca="false">C54</f>
        <v>-1.5695</v>
      </c>
      <c r="D59" s="10" t="n">
        <f aca="false">D54</f>
        <v>-3.11</v>
      </c>
      <c r="E59" s="10" t="n">
        <f aca="false">E54</f>
        <v>-1.95</v>
      </c>
      <c r="F59" s="10" t="n">
        <f aca="false">F54</f>
        <v>-0.246</v>
      </c>
    </row>
    <row r="60" customFormat="false" ht="15" hidden="false" customHeight="true" outlineLevel="0" collapsed="false">
      <c r="B60" s="9" t="s">
        <v>293</v>
      </c>
      <c r="C60" s="19" t="n">
        <v>0.15</v>
      </c>
      <c r="D60" s="19" t="n">
        <v>0.38</v>
      </c>
      <c r="E60" s="19" t="n">
        <v>0.33</v>
      </c>
      <c r="F60" s="19" t="n">
        <v>0.245</v>
      </c>
    </row>
    <row r="61" customFormat="false" ht="15" hidden="false" customHeight="true" outlineLevel="0" collapsed="false">
      <c r="B61" s="39" t="s">
        <v>294</v>
      </c>
      <c r="C61" s="10" t="n">
        <f aca="false">$C$20*C47</f>
        <v>0.045</v>
      </c>
      <c r="D61" s="10" t="n">
        <f aca="false">$C$20*(D47-C47)</f>
        <v>0.09</v>
      </c>
      <c r="E61" s="10" t="n">
        <f aca="false">$C$20*(E47-D47)</f>
        <v>0.315</v>
      </c>
      <c r="F61" s="10" t="n">
        <f aca="false">$C$20*(F47-E47)</f>
        <v>0.45</v>
      </c>
    </row>
    <row r="62" customFormat="false" ht="15" hidden="false" customHeight="true" outlineLevel="0" collapsed="false">
      <c r="B62" s="9" t="s">
        <v>183</v>
      </c>
      <c r="C62" s="41" t="n">
        <v>4</v>
      </c>
      <c r="D62" s="41" t="n">
        <v>5</v>
      </c>
      <c r="E62" s="41" t="n">
        <v>0</v>
      </c>
      <c r="F62" s="41" t="n">
        <v>0</v>
      </c>
      <c r="J62" s="6" t="s">
        <v>295</v>
      </c>
    </row>
    <row r="63" customFormat="false" ht="15" hidden="false" customHeight="true" outlineLevel="0" collapsed="false">
      <c r="B63" s="7" t="s">
        <v>185</v>
      </c>
      <c r="C63" s="31" t="n">
        <f aca="false">C59-C60-C61+C62</f>
        <v>2.2355</v>
      </c>
      <c r="D63" s="31" t="n">
        <f aca="false">D59-D60-D61+D62</f>
        <v>1.42</v>
      </c>
      <c r="E63" s="31" t="n">
        <f aca="false">E59-E60-E61+E62</f>
        <v>-2.595</v>
      </c>
      <c r="F63" s="31" t="n">
        <f aca="false">F59-F60-F61+F62</f>
        <v>-0.941</v>
      </c>
    </row>
    <row r="64" customFormat="false" ht="15" hidden="false" customHeight="true" outlineLevel="0" collapsed="false">
      <c r="B64" s="9" t="s">
        <v>186</v>
      </c>
      <c r="C64" s="19" t="n">
        <v>0.35</v>
      </c>
      <c r="D64" s="10" t="n">
        <f aca="false">C65</f>
        <v>2.5855</v>
      </c>
      <c r="E64" s="10" t="n">
        <f aca="false">D65</f>
        <v>4.0055</v>
      </c>
      <c r="F64" s="10" t="n">
        <f aca="false">E65</f>
        <v>1.4105</v>
      </c>
    </row>
    <row r="65" customFormat="false" ht="15" hidden="false" customHeight="true" outlineLevel="0" collapsed="false">
      <c r="B65" s="7" t="s">
        <v>187</v>
      </c>
      <c r="C65" s="31" t="n">
        <f aca="false">C64+C63</f>
        <v>2.5855</v>
      </c>
      <c r="D65" s="31" t="n">
        <f aca="false">D64+D63</f>
        <v>4.0055</v>
      </c>
      <c r="E65" s="31" t="n">
        <f aca="false">E64+E63</f>
        <v>1.4105</v>
      </c>
      <c r="F65" s="31" t="n">
        <f aca="false">F64+F63</f>
        <v>0.4695</v>
      </c>
      <c r="J65" s="6" t="s">
        <v>296</v>
      </c>
    </row>
    <row r="66" customFormat="false" ht="15" hidden="false" customHeight="true" outlineLevel="0" collapsed="false">
      <c r="B66" s="9" t="s">
        <v>297</v>
      </c>
      <c r="C66" s="41" t="n">
        <f aca="false">C65</f>
        <v>2.5855</v>
      </c>
      <c r="D66" s="41" t="n">
        <f aca="false">D65-5</f>
        <v>-0.9945</v>
      </c>
      <c r="E66" s="41" t="n">
        <f aca="false">E65-5</f>
        <v>-3.5895</v>
      </c>
      <c r="F66" s="41" t="n">
        <f aca="false">F65-5</f>
        <v>-4.5305</v>
      </c>
      <c r="J66" s="6" t="s">
        <v>298</v>
      </c>
    </row>
    <row r="68" customFormat="false" ht="15" hidden="false" customHeight="true" outlineLevel="0" collapsed="false">
      <c r="B68" s="4" t="s">
        <v>299</v>
      </c>
      <c r="C68" s="5"/>
      <c r="D68" s="5"/>
      <c r="E68" s="5"/>
      <c r="F68" s="5"/>
      <c r="G68" s="5"/>
      <c r="H68" s="5"/>
      <c r="I68" s="5"/>
      <c r="J68" s="5"/>
    </row>
    <row r="69" customFormat="false" ht="15" hidden="false" customHeight="true" outlineLevel="0" collapsed="false">
      <c r="B69" s="7" t="s">
        <v>162</v>
      </c>
      <c r="C69" s="8" t="s">
        <v>47</v>
      </c>
      <c r="D69" s="8" t="s">
        <v>48</v>
      </c>
      <c r="E69" s="8" t="s">
        <v>49</v>
      </c>
      <c r="F69" s="8" t="s">
        <v>50</v>
      </c>
      <c r="G69" s="8"/>
      <c r="H69" s="8"/>
      <c r="J69" s="7" t="s">
        <v>9</v>
      </c>
    </row>
    <row r="70" customFormat="false" ht="15" hidden="false" customHeight="true" outlineLevel="0" collapsed="false">
      <c r="B70" s="9" t="s">
        <v>190</v>
      </c>
      <c r="C70" s="10" t="n">
        <f aca="false">C65</f>
        <v>2.5855</v>
      </c>
      <c r="D70" s="10" t="n">
        <f aca="false">D65</f>
        <v>4.0055</v>
      </c>
      <c r="E70" s="10" t="n">
        <f aca="false">E65</f>
        <v>1.4105</v>
      </c>
      <c r="F70" s="10" t="n">
        <f aca="false">F65</f>
        <v>0.4695</v>
      </c>
    </row>
    <row r="71" customFormat="false" ht="15" hidden="false" customHeight="true" outlineLevel="0" collapsed="false">
      <c r="B71" s="9" t="s">
        <v>191</v>
      </c>
      <c r="C71" s="10" t="n">
        <f aca="false">$C$20*C47</f>
        <v>0.045</v>
      </c>
      <c r="D71" s="10" t="n">
        <f aca="false">$C$20*D47</f>
        <v>0.135</v>
      </c>
      <c r="E71" s="10" t="n">
        <f aca="false">$C$20*E47</f>
        <v>0.45</v>
      </c>
      <c r="F71" s="10" t="n">
        <f aca="false">$C$20*F47</f>
        <v>0.9</v>
      </c>
    </row>
    <row r="72" customFormat="false" ht="15" hidden="false" customHeight="true" outlineLevel="0" collapsed="false">
      <c r="B72" s="9" t="s">
        <v>193</v>
      </c>
      <c r="C72" s="10" t="n">
        <f aca="false">C60-C55</f>
        <v>0.12</v>
      </c>
      <c r="D72" s="10" t="n">
        <f aca="false">C72+D60-D55</f>
        <v>0.39</v>
      </c>
      <c r="E72" s="10" t="n">
        <f aca="false">D72+E60-E55</f>
        <v>0.54</v>
      </c>
      <c r="F72" s="10" t="n">
        <f aca="false">E72+F60-F55</f>
        <v>0.555</v>
      </c>
    </row>
    <row r="73" customFormat="false" ht="15" hidden="false" customHeight="true" outlineLevel="0" collapsed="false">
      <c r="B73" s="27" t="s">
        <v>194</v>
      </c>
      <c r="C73" s="33" t="n">
        <f aca="false">C70+C71+C72</f>
        <v>2.7505</v>
      </c>
      <c r="D73" s="33" t="n">
        <f aca="false">D70+D71+D72</f>
        <v>4.5305</v>
      </c>
      <c r="E73" s="33" t="n">
        <f aca="false">E70+E71+E72</f>
        <v>2.4005</v>
      </c>
      <c r="F73" s="33" t="n">
        <f aca="false">F70+F71+F72</f>
        <v>1.9245</v>
      </c>
    </row>
    <row r="74" customFormat="false" ht="15" hidden="false" customHeight="true" outlineLevel="0" collapsed="false">
      <c r="B74" s="9" t="s">
        <v>195</v>
      </c>
      <c r="C74" s="10" t="n">
        <f aca="false">C73</f>
        <v>2.7505</v>
      </c>
      <c r="D74" s="10" t="n">
        <f aca="false">D73</f>
        <v>4.5305</v>
      </c>
      <c r="E74" s="10" t="n">
        <f aca="false">E73</f>
        <v>2.4005</v>
      </c>
      <c r="F74" s="10" t="n">
        <f aca="false">F73</f>
        <v>1.9245</v>
      </c>
    </row>
    <row r="76" customFormat="false" ht="15" hidden="false" customHeight="true" outlineLevel="0" collapsed="false">
      <c r="B76" s="4" t="s">
        <v>300</v>
      </c>
      <c r="C76" s="5"/>
      <c r="D76" s="5"/>
      <c r="E76" s="5"/>
      <c r="F76" s="5"/>
      <c r="G76" s="5"/>
      <c r="H76" s="5"/>
      <c r="I76" s="5"/>
      <c r="J76" s="5"/>
    </row>
    <row r="77" customFormat="false" ht="15" hidden="false" customHeight="true" outlineLevel="0" collapsed="false">
      <c r="B77" s="9" t="s">
        <v>198</v>
      </c>
      <c r="C77" s="41" t="n">
        <v>5</v>
      </c>
    </row>
    <row r="78" customFormat="false" ht="15" hidden="false" customHeight="true" outlineLevel="0" collapsed="false">
      <c r="B78" s="9" t="s">
        <v>200</v>
      </c>
      <c r="C78" s="10" t="n">
        <f aca="false">C77*F30</f>
        <v>30</v>
      </c>
    </row>
    <row r="79" customFormat="false" ht="15" hidden="false" customHeight="true" outlineLevel="0" collapsed="false">
      <c r="B79" s="9" t="s">
        <v>201</v>
      </c>
      <c r="C79" s="10" t="n">
        <f aca="false">F65</f>
        <v>0.4695</v>
      </c>
    </row>
    <row r="80" customFormat="false" ht="15" hidden="false" customHeight="true" outlineLevel="0" collapsed="false">
      <c r="B80" s="7" t="s">
        <v>202</v>
      </c>
      <c r="C80" s="31" t="n">
        <f aca="false">C78+C79</f>
        <v>30.4695</v>
      </c>
    </row>
    <row r="82" customFormat="false" ht="15" hidden="false" customHeight="true" outlineLevel="0" collapsed="false">
      <c r="B82" s="7" t="s">
        <v>301</v>
      </c>
      <c r="C82" s="8" t="s">
        <v>204</v>
      </c>
      <c r="D82" s="8" t="s">
        <v>205</v>
      </c>
      <c r="E82" s="8" t="s">
        <v>206</v>
      </c>
      <c r="F82" s="8" t="s">
        <v>207</v>
      </c>
      <c r="G82" s="8" t="s">
        <v>208</v>
      </c>
      <c r="J82" s="7" t="s">
        <v>302</v>
      </c>
    </row>
    <row r="83" customFormat="false" ht="15" hidden="false" customHeight="true" outlineLevel="0" collapsed="false">
      <c r="B83" s="9" t="s">
        <v>209</v>
      </c>
      <c r="C83" s="42" t="n">
        <v>0.567</v>
      </c>
      <c r="D83" s="41" t="n">
        <v>14</v>
      </c>
      <c r="E83" s="41" t="n">
        <v>2</v>
      </c>
      <c r="F83" s="10" t="n">
        <f aca="false">MAX(IF(E83="",0,E83),C83*$C$80)</f>
        <v>17.2762065</v>
      </c>
      <c r="G83" s="12" t="n">
        <f aca="false">F83/D83</f>
        <v>1.23401475</v>
      </c>
      <c r="J83" s="6" t="s">
        <v>303</v>
      </c>
    </row>
    <row r="84" customFormat="false" ht="15" hidden="false" customHeight="true" outlineLevel="0" collapsed="false">
      <c r="B84" s="9" t="s">
        <v>304</v>
      </c>
      <c r="C84" s="42" t="n">
        <v>0.039</v>
      </c>
      <c r="F84" s="10" t="n">
        <f aca="false">MAX(IF(E84="",0,E84),C84*$C$80)</f>
        <v>1.1883105</v>
      </c>
    </row>
    <row r="85" customFormat="false" ht="15" hidden="false" customHeight="true" outlineLevel="0" collapsed="false">
      <c r="B85" s="9" t="s">
        <v>213</v>
      </c>
      <c r="C85" s="42" t="n">
        <v>0.1137</v>
      </c>
      <c r="D85" s="41" t="n">
        <v>3</v>
      </c>
      <c r="E85" s="41" t="n">
        <v>3</v>
      </c>
      <c r="F85" s="10" t="n">
        <f aca="false">MAX(IF(E85="",0,E85),C85*$C$80)</f>
        <v>3.46438215</v>
      </c>
      <c r="G85" s="12" t="n">
        <f aca="false">F85/D85</f>
        <v>1.15479405</v>
      </c>
      <c r="J85" s="6" t="s">
        <v>305</v>
      </c>
    </row>
    <row r="86" customFormat="false" ht="15" hidden="false" customHeight="true" outlineLevel="0" collapsed="false">
      <c r="B86" s="9" t="s">
        <v>306</v>
      </c>
      <c r="C86" s="42" t="n">
        <v>0.2</v>
      </c>
      <c r="D86" s="41" t="n">
        <v>5</v>
      </c>
      <c r="E86" s="41" t="n">
        <v>5</v>
      </c>
      <c r="F86" s="10" t="n">
        <f aca="false">MAX(IF(E86="",0,E86),C86*$C$80)</f>
        <v>6.0939</v>
      </c>
      <c r="G86" s="12" t="n">
        <f aca="false">F86/D86</f>
        <v>1.21878</v>
      </c>
      <c r="J86" s="6" t="s">
        <v>307</v>
      </c>
    </row>
    <row r="87" customFormat="false" ht="15" hidden="false" customHeight="true" outlineLevel="0" collapsed="false">
      <c r="B87" s="9" t="s">
        <v>308</v>
      </c>
      <c r="C87" s="42" t="n">
        <v>0.08</v>
      </c>
      <c r="F87" s="10" t="n">
        <f aca="false">MAX(IF(E87="",0,E87),C87*$C$80)</f>
        <v>2.43756</v>
      </c>
    </row>
    <row r="88" customFormat="false" ht="15" hidden="false" customHeight="true" outlineLevel="0" collapsed="false">
      <c r="B88" s="27" t="s">
        <v>217</v>
      </c>
      <c r="C88" s="35"/>
      <c r="D88" s="35"/>
      <c r="E88" s="35"/>
      <c r="F88" s="33" t="n">
        <f aca="false">SUM(F83:F87)</f>
        <v>30.46035915</v>
      </c>
      <c r="G88" s="35"/>
    </row>
    <row r="89" customFormat="false" ht="18.75" hidden="false" customHeight="true" outlineLevel="0" collapsed="false">
      <c r="B89" s="38" t="s">
        <v>309</v>
      </c>
      <c r="J89" s="6" t="s">
        <v>310</v>
      </c>
    </row>
    <row r="91" customFormat="false" ht="15" hidden="false" customHeight="true" outlineLevel="0" collapsed="false">
      <c r="B91" s="7" t="s">
        <v>219</v>
      </c>
      <c r="C91" s="31" t="n">
        <f aca="false">2/3*F85</f>
        <v>2.3095881</v>
      </c>
      <c r="D91" s="36" t="n">
        <f aca="false">C91/2</f>
        <v>1.15479405</v>
      </c>
      <c r="E91" s="37" t="n">
        <f aca="false">(C91/2)^(1/3)-1</f>
        <v>0.049143382972479</v>
      </c>
      <c r="J91" s="15" t="s">
        <v>311</v>
      </c>
    </row>
    <row r="92" customFormat="false" ht="15" hidden="false" customHeight="true" outlineLevel="0" collapsed="false">
      <c r="B92" s="9" t="s">
        <v>312</v>
      </c>
      <c r="C92" s="11" t="n">
        <f aca="false">2/3*C85</f>
        <v>0.0758</v>
      </c>
    </row>
    <row r="93" customFormat="false" ht="15" hidden="false" customHeight="true" outlineLevel="0" collapsed="false">
      <c r="B93" s="4" t="s">
        <v>313</v>
      </c>
      <c r="C93" s="5"/>
      <c r="D93" s="5"/>
      <c r="E93" s="5"/>
      <c r="F93" s="5"/>
      <c r="G93" s="5"/>
      <c r="H93" s="5"/>
      <c r="I93" s="5"/>
      <c r="J93" s="5"/>
    </row>
    <row r="94" customFormat="false" ht="15" hidden="false" customHeight="true" outlineLevel="0" collapsed="false">
      <c r="B94" s="7" t="s">
        <v>314</v>
      </c>
      <c r="J94" s="6" t="s">
        <v>315</v>
      </c>
    </row>
    <row r="95" customFormat="false" ht="15" hidden="false" customHeight="true" outlineLevel="0" collapsed="false">
      <c r="B95" s="7" t="s">
        <v>316</v>
      </c>
      <c r="J95" s="6" t="s">
        <v>317</v>
      </c>
    </row>
    <row r="96" customFormat="false" ht="15" hidden="false" customHeight="true" outlineLevel="0" collapsed="false">
      <c r="B96" s="7" t="s">
        <v>318</v>
      </c>
      <c r="J96" s="6" t="s">
        <v>319</v>
      </c>
    </row>
    <row r="97" customFormat="false" ht="15" hidden="false" customHeight="true" outlineLevel="0" collapsed="false">
      <c r="B97" s="7" t="s">
        <v>320</v>
      </c>
      <c r="J97" s="6" t="s">
        <v>321</v>
      </c>
    </row>
    <row r="98" customFormat="false" ht="15" hidden="false" customHeight="true" outlineLevel="0" collapsed="false">
      <c r="B98" s="7" t="s">
        <v>322</v>
      </c>
      <c r="J98" s="6" t="s">
        <v>323</v>
      </c>
    </row>
    <row r="100" customFormat="false" ht="27.75" hidden="false" customHeight="true" outlineLevel="0" collapsed="false">
      <c r="B100" s="6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2026-08-04T19:44:25Z</dcterms:created>
  <dc:creator>openpyxl</dc:creator>
  <dc:description/>
  <dc:language>en-US</dc:language>
  <cp:lastModifiedBy/>
  <dcterms:modified xsi:type="dcterms:W3CDTF">2026-08-04T20:04:13Z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