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comments/comment2.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ec_Summary" sheetId="2" state="visible" r:id="rId2"/>
    <sheet xmlns:r="http://schemas.openxmlformats.org/officeDocument/2006/relationships" name="Market_Overview" sheetId="3" state="visible" r:id="rId3"/>
    <sheet xmlns:r="http://schemas.openxmlformats.org/officeDocument/2006/relationships" name="Segment_Map" sheetId="4" state="visible" r:id="rId4"/>
    <sheet xmlns:r="http://schemas.openxmlformats.org/officeDocument/2006/relationships" name="Cascade_Map_2026" sheetId="5" state="visible" r:id="rId5"/>
    <sheet xmlns:r="http://schemas.openxmlformats.org/officeDocument/2006/relationships" name="Investor_Universe" sheetId="6" state="visible" r:id="rId6"/>
    <sheet xmlns:r="http://schemas.openxmlformats.org/officeDocument/2006/relationships" name="Contacts" sheetId="7" state="visible" r:id="rId7"/>
    <sheet xmlns:r="http://schemas.openxmlformats.org/officeDocument/2006/relationships" name="Existing_Pipeline" sheetId="8" state="visible" r:id="rId8"/>
    <sheet xmlns:r="http://schemas.openxmlformats.org/officeDocument/2006/relationships" name="IPL_Debt_Capacity" sheetId="9" state="visible" r:id="rId9"/>
    <sheet xmlns:r="http://schemas.openxmlformats.org/officeDocument/2006/relationships" name="CPEF_Debt_Capacity" sheetId="10" state="visible" r:id="rId10"/>
    <sheet xmlns:r="http://schemas.openxmlformats.org/officeDocument/2006/relationships" name="Outreach_Plan" sheetId="11" state="visible" r:id="rId11"/>
    <sheet xmlns:r="http://schemas.openxmlformats.org/officeDocument/2006/relationships" name="Conferences" sheetId="12" state="visible" r:id="rId12"/>
    <sheet xmlns:r="http://schemas.openxmlformats.org/officeDocument/2006/relationships" name="Scoring_Weights" sheetId="13" state="visible" r:id="rId13"/>
    <sheet xmlns:r="http://schemas.openxmlformats.org/officeDocument/2006/relationships" name="Raise_Parameters" sheetId="14" state="visible" r:id="rId14"/>
    <sheet xmlns:r="http://schemas.openxmlformats.org/officeDocument/2006/relationships" name="Sources" sheetId="15" state="visible" r:id="rId15"/>
  </sheets>
  <definedNames>
    <definedName name="_xlnm._FilterDatabase" localSheetId="4" hidden="1">'Cascade_Map_2026'!$A$4:$W$114</definedName>
    <definedName name="_xlnm._FilterDatabase" localSheetId="5" hidden="1">'Investor_Universe'!$A$4:$W$82</definedName>
    <definedName name="_xlnm._FilterDatabase" localSheetId="6" hidden="1">'Contacts'!$A$4:$O$72</definedName>
  </definedNames>
  <calcPr calcId="124519" fullCalcOnLoad="1"/>
</workbook>
</file>

<file path=xl/styles.xml><?xml version="1.0" encoding="utf-8"?>
<styleSheet xmlns="http://schemas.openxmlformats.org/spreadsheetml/2006/main">
  <numFmts count="7">
    <numFmt numFmtId="164" formatCode="#,##0;(#,##0);&quot;-&quot;"/>
    <numFmt numFmtId="165" formatCode="0.0%"/>
    <numFmt numFmtId="166" formatCode="&quot;€&quot;#,##0;(&quot;€&quot;#,##0);&quot;-&quot;"/>
    <numFmt numFmtId="167" formatCode="0.00&quot;x&quot;"/>
    <numFmt numFmtId="168" formatCode="&quot;€&quot;#,##0.0&quot;m&quot;;(&quot;€&quot;#,##0.0&quot;m&quot;);&quot;-&quot;"/>
    <numFmt numFmtId="169" formatCode="&quot;€&quot;0.00"/>
    <numFmt numFmtId="170" formatCode="#,##0.0"/>
  </numFmts>
  <fonts count="8">
    <font>
      <name val="Calibri"/>
      <family val="2"/>
      <color theme="1"/>
      <sz val="11"/>
      <scheme val="minor"/>
    </font>
    <font>
      <name val="Arial"/>
      <b val="1"/>
      <color rgb="001F2A44"/>
      <sz val="14"/>
    </font>
    <font>
      <name val="Arial"/>
      <i val="1"/>
      <color rgb="00595959"/>
      <sz val="10"/>
    </font>
    <font>
      <name val="Arial"/>
      <b val="1"/>
      <sz val="10"/>
    </font>
    <font>
      <name val="Arial"/>
      <color rgb="00000000"/>
      <sz val="10"/>
    </font>
    <font>
      <name val="Arial"/>
      <b val="1"/>
      <color rgb="00FFFFFF"/>
      <sz val="10"/>
    </font>
    <font>
      <name val="Arial"/>
      <color rgb="000000FF"/>
      <sz val="10"/>
    </font>
    <font>
      <name val="Arial"/>
      <color rgb="00008000"/>
      <sz val="10"/>
    </font>
  </fonts>
  <fills count="5">
    <fill>
      <patternFill/>
    </fill>
    <fill>
      <patternFill patternType="gray125"/>
    </fill>
    <fill>
      <patternFill patternType="solid">
        <fgColor rgb="001F2A44"/>
      </patternFill>
    </fill>
    <fill>
      <patternFill patternType="solid">
        <fgColor rgb="00FFF2CC"/>
      </patternFill>
    </fill>
    <fill>
      <patternFill patternType="solid">
        <fgColor rgb="00D9DEE8"/>
      </patternFill>
    </fill>
  </fills>
  <borders count="9">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style="thin">
        <color rgb="00BFBFBF"/>
      </left>
      <right/>
      <top/>
      <bottom/>
      <diagonal/>
    </border>
    <border>
      <left/>
      <right style="thin">
        <color rgb="00BFBFBF"/>
      </right>
      <top style="thin">
        <color rgb="00BFBFBF"/>
      </top>
      <bottom/>
      <diagonal/>
    </border>
    <border>
      <left/>
      <right style="thin">
        <color rgb="00BFBFBF"/>
      </right>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0" borderId="1" applyAlignment="1" pivotButton="0" quotePrefix="0" xfId="0">
      <alignment vertical="top" wrapText="1"/>
    </xf>
    <xf numFmtId="164" fontId="4" fillId="0" borderId="1" pivotButton="0" quotePrefix="0" xfId="0"/>
    <xf numFmtId="168" fontId="4" fillId="0" borderId="1" pivotButton="0" quotePrefix="0" xfId="0"/>
    <xf numFmtId="165" fontId="4" fillId="0" borderId="1" pivotButton="0" quotePrefix="0" xfId="0"/>
    <xf numFmtId="164" fontId="4" fillId="0" borderId="1" applyAlignment="1" pivotButton="0" quotePrefix="0" xfId="0">
      <alignment vertical="top" wrapText="1"/>
    </xf>
    <xf numFmtId="164" fontId="6" fillId="0" borderId="1" applyAlignment="1" pivotButton="0" quotePrefix="0" xfId="0">
      <alignment horizontal="center" vertical="center" wrapText="1"/>
    </xf>
    <xf numFmtId="164"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7" fillId="0" borderId="1" applyAlignment="1" pivotButton="0" quotePrefix="0" xfId="0">
      <alignment vertical="top" wrapText="1"/>
    </xf>
    <xf numFmtId="0" fontId="3" fillId="0" borderId="1" applyAlignment="1" pivotButton="0" quotePrefix="0" xfId="0">
      <alignment vertical="top" wrapText="1"/>
    </xf>
    <xf numFmtId="164" fontId="6" fillId="3" borderId="1" pivotButton="0" quotePrefix="0" xfId="0"/>
    <xf numFmtId="165" fontId="6" fillId="3" borderId="1" pivotButton="0" quotePrefix="0" xfId="0"/>
    <xf numFmtId="166" fontId="6" fillId="3" borderId="1" pivotButton="0" quotePrefix="0" xfId="0"/>
    <xf numFmtId="168" fontId="3" fillId="0" borderId="1" pivotButton="0" quotePrefix="0" xfId="0"/>
    <xf numFmtId="165" fontId="3" fillId="0" borderId="1" pivotButton="0" quotePrefix="0" xfId="0"/>
    <xf numFmtId="167" fontId="6" fillId="3" borderId="1" pivotButton="0" quotePrefix="0" xfId="0"/>
    <xf numFmtId="168" fontId="6" fillId="3" borderId="1" pivotButton="0" quotePrefix="0" xfId="0"/>
    <xf numFmtId="167" fontId="3" fillId="0" borderId="1" pivotButton="0" quotePrefix="0" xfId="0"/>
    <xf numFmtId="0" fontId="3" fillId="0" borderId="1" pivotButton="0" quotePrefix="0" xfId="0"/>
    <xf numFmtId="166" fontId="3" fillId="4" borderId="1" pivotButton="0" quotePrefix="0" xfId="0"/>
    <xf numFmtId="0" fontId="0" fillId="0" borderId="2"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3" pivotButton="0" quotePrefix="0" xfId="0"/>
    <xf numFmtId="0" fontId="0" fillId="0" borderId="5" pivotButton="0" quotePrefix="0" xfId="0"/>
    <xf numFmtId="169" fontId="6" fillId="3" borderId="1" pivotButton="0" quotePrefix="0" xfId="0"/>
    <xf numFmtId="167" fontId="4" fillId="0" borderId="1" pivotButton="0" quotePrefix="0" xfId="0"/>
    <xf numFmtId="164" fontId="3" fillId="4" borderId="1" pivotButton="0" quotePrefix="0" xfId="0"/>
    <xf numFmtId="169" fontId="3" fillId="4" borderId="1" pivotButton="0" quotePrefix="0" xfId="0"/>
    <xf numFmtId="164" fontId="3" fillId="0" borderId="1" pivotButton="0" quotePrefix="0" xfId="0"/>
    <xf numFmtId="170" fontId="4" fillId="0" borderId="1" applyAlignment="1" pivotButton="0" quotePrefix="0" xfId="0">
      <alignment vertical="top" wrapText="1"/>
    </xf>
  </cellXfs>
  <cellStyles count="1">
    <cellStyle name="Normal" xfId="0" builtinId="0" hidden="0"/>
  </cellStyles>
  <dxfs count="2">
    <dxf>
      <fill>
        <patternFill patternType="solid">
          <fgColor rgb="00C6EF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Impactus analysis</author>
  </authors>
  <commentList>
    <comment ref="B5" authorId="0" shapeId="0">
      <text>
        <t>PwC model Iteration 3 v.6 - 2031 throughput</t>
      </text>
    </comment>
    <comment ref="B7" authorId="0" shapeId="0">
      <text>
        <t>Pyrum letter / Continental framework; Sergo call Jun 2025 cited a €1,350/t floor</t>
      </text>
    </comment>
    <comment ref="B9" authorId="0" shapeId="0">
      <text>
        <t>PwC model; BASF HoT. Jun 2025 call cited €515/t floor - stress case</t>
      </text>
    </comment>
    <comment ref="B12" authorId="0" shapeId="0">
      <text>
        <t>MODEL assumption. Contracted today: €62/t on 11ktpa only (PMO MoM 03-09-2026). This is the swing item.</t>
      </text>
    </comment>
    <comment ref="B14" authorId="0" shapeId="0">
      <text>
        <t>Derived: (€36.1m revenue - €21.9m EBITDA) / 44,776t per PwC model</t>
      </text>
    </comment>
    <comment ref="D14" authorId="0" shapeId="0">
      <text>
        <t>Simplification: ignores tax shield from depreciation and interest; conservative for sizing.</t>
      </text>
    </comment>
    <comment ref="B15" authorId="0" shapeId="0">
      <text>
        <t>Assumption - not in Snapshot; needs verification against PwC model</t>
      </text>
    </comment>
    <comment ref="B16" authorId="0" shapeId="0">
      <text>
        <t>Greek CIT 22%</t>
      </text>
    </comment>
    <comment ref="D16" authorId="0" shapeId="0">
      <text>
        <t>Annuity-based: PV of CFADS/DSCR over the repayment tenor at the facility rate.</t>
      </text>
    </comment>
    <comment ref="B19" authorId="0" shapeId="0">
      <text>
        <t>Credia LOI: 6.5% p.a. indicative</t>
      </text>
    </comment>
    <comment ref="B20" authorId="0" shapeId="0">
      <text>
        <t>4 + 10 years</t>
      </text>
    </comment>
    <comment ref="B21" authorId="0" shapeId="0">
      <text>
        <t>Credia sizing 1.5x; LOI average DSCR 1.3x</t>
      </text>
    </comment>
    <comment ref="B28" authorId="0" shapeId="0">
      <text>
        <t>Assumption - 3% of tranche; typical VD warrant coverage 5-15% of loan translates to 1-4% PV</t>
      </text>
    </comment>
    <comment ref="B36" authorId="0" shapeId="0">
      <text>
        <t>Snapshot p.9: plant capex €118.5m + development, fees, WC, reserves</t>
      </text>
    </comment>
    <comment ref="B37" authorId="0" shapeId="0">
      <text>
        <t>PMO MoM 03-09-2026: '€120m or €150m' unresolved</t>
      </text>
    </comment>
  </commentList>
</comments>
</file>

<file path=xl/comments/comment2.xml><?xml version="1.0" encoding="utf-8"?>
<comments xmlns="http://schemas.openxmlformats.org/spreadsheetml/2006/main">
  <authors>
    <author>Impactus analysis</author>
  </authors>
  <commentList>
    <comment ref="B5" authorId="0" shapeId="0">
      <text>
        <t>Meerkat stressed plan: 3.5m g at capacity (Phase 1)</t>
      </text>
    </comment>
    <comment ref="B6" authorId="0" shapeId="0">
      <text>
        <t>Stressed €3.00/g; base case €4.85/g (Sponsor). German wholesale c.€5/g in 2025 per Business of Cannabis; verify current EU-GMP flower prices</t>
      </text>
    </comment>
    <comment ref="B7" authorId="0" shapeId="0">
      <text>
        <t>Meerkat plan: 50-51%</t>
      </text>
    </comment>
    <comment ref="B9" authorId="0" shapeId="0">
      <text>
        <t>Meerkat plan c.€0.1m p.a.</t>
      </text>
    </comment>
    <comment ref="B10" authorId="0" shapeId="0">
      <text>
        <t>Greek bank facility per plan; confirm drawn balance</t>
      </text>
    </comment>
    <comment ref="B11" authorId="0" shapeId="0">
      <text>
        <t>Assumption</t>
      </text>
    </comment>
    <comment ref="B14" authorId="0" shapeId="0">
      <text>
        <t>Specialist cannabis lenders: 2-3x; mainstream EU lower-mid-market direct lenders: would not lend (sector exclusion) - see Investor_Universe</t>
      </text>
    </comment>
    <comment ref="B15" authorId="0" shapeId="0">
      <text>
        <t>Cannabis credit pricing 12-16% (Chicago Atlantic / AFC disclosed portfolio yields); EU venture debt 10-13% + warrants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https://www.linkedin.com/search/results/people/?keywords=Alberto%20Casorati%20European%20Investment%20Bank" TargetMode="External" Id="rId1"/><Relationship Type="http://schemas.openxmlformats.org/officeDocument/2006/relationships/hyperlink" Target="https://www.linkedin.com/search/results/people/?keywords=Stephan%20Mitrakas%20European%20Investment%20Bank" TargetMode="External" Id="rId2"/><Relationship Type="http://schemas.openxmlformats.org/officeDocument/2006/relationships/hyperlink" Target="https://www.linkedin.com/search/results/people/?keywords=Francois%20Gaudet%20European%20Investment%20Bank" TargetMode="External" Id="rId3"/><Relationship Type="http://schemas.openxmlformats.org/officeDocument/2006/relationships/hyperlink" Target="https://www.linkedin.com/search/results/people/?keywords=Alexandros%20Vlachos%20HIIF" TargetMode="External" Id="rId4"/><Relationship Type="http://schemas.openxmlformats.org/officeDocument/2006/relationships/hyperlink" Target="https://www.linkedin.com/search/results/people/?keywords=Stelios%20Fragos%20HIIF" TargetMode="External" Id="rId5"/><Relationship Type="http://schemas.openxmlformats.org/officeDocument/2006/relationships/hyperlink" Target="https://www.linkedin.com/search/results/people/?keywords=Andreas%20Giannakopoulos%20HIIF" TargetMode="External" Id="rId6"/><Relationship Type="http://schemas.openxmlformats.org/officeDocument/2006/relationships/hyperlink" Target="https://www.linkedin.com/search/results/people/?keywords=Evangelos%20Mitrou%20Credia%20Bank" TargetMode="External" Id="rId7"/><Relationship Type="http://schemas.openxmlformats.org/officeDocument/2006/relationships/hyperlink" Target="https://www.linkedin.com/search/results/people/?keywords=Christos%20Masouras%20Credia%20Bank" TargetMode="External" Id="rId8"/><Relationship Type="http://schemas.openxmlformats.org/officeDocument/2006/relationships/hyperlink" Target="https://www.linkedin.com/search/results/people/?keywords=Christos%20Iliopoulos%20Credia%20Bank" TargetMode="External" Id="rId9"/><Relationship Type="http://schemas.openxmlformats.org/officeDocument/2006/relationships/hyperlink" Target="https://www.linkedin.com/search/results/people/?keywords=George%20Papageorgantas%20Sirec%20Energy" TargetMode="External" Id="rId10"/><Relationship Type="http://schemas.openxmlformats.org/officeDocument/2006/relationships/hyperlink" Target="https://www.linkedin.com/search/results/people/?keywords=Dionissis%20Alissandratos%20Sirec%20Energy" TargetMode="External" Id="rId11"/><Relationship Type="http://schemas.openxmlformats.org/officeDocument/2006/relationships/hyperlink" Target="https://www.linkedin.com/search/results/people/?keywords=Argyrios%20Chatzilias%20Venero%20Capital" TargetMode="External" Id="rId12"/><Relationship Type="http://schemas.openxmlformats.org/officeDocument/2006/relationships/hyperlink" Target="https://www.linkedin.com/search/results/people/?keywords=Giannos%20Politis%20Venero%20Capital" TargetMode="External" Id="rId13"/><Relationship Type="http://schemas.openxmlformats.org/officeDocument/2006/relationships/hyperlink" Target="https://www.linkedin.com/search/results/people/?keywords=Lampros%20Kantounis%20PwC%20Greece" TargetMode="External" Id="rId14"/><Relationship Type="http://schemas.openxmlformats.org/officeDocument/2006/relationships/hyperlink" Target="https://www.linkedin.com/search/results/people/?keywords=Andreas%20Tsikas%20PwC%20Greece" TargetMode="External" Id="rId15"/><Relationship Type="http://schemas.openxmlformats.org/officeDocument/2006/relationships/hyperlink" Target="https://www.linkedin.com/search/results/people/?keywords=Yiannis%20Kalafatas%20Fordoers" TargetMode="External" Id="rId16"/><Relationship Type="http://schemas.openxmlformats.org/officeDocument/2006/relationships/hyperlink" Target="https://www.linkedin.com/search/results/people/?keywords=Marinos%20Theodosiou%20Muhanna" TargetMode="External" Id="rId17"/><Relationship Type="http://schemas.openxmlformats.org/officeDocument/2006/relationships/hyperlink" Target="https://www.linkedin.com/search/results/people/?keywords=Antonios%20Achilleoudis%20Axia%20Ventures" TargetMode="External" Id="rId18"/><Relationship Type="http://schemas.openxmlformats.org/officeDocument/2006/relationships/hyperlink" Target="https://www.linkedin.com/search/results/people/?keywords=Rachel%20Koen%20J.%20Safra%20Sarasin" TargetMode="External" Id="rId19"/><Relationship Type="http://schemas.openxmlformats.org/officeDocument/2006/relationships/hyperlink" Target="https://www.linkedin.com/search/results/people/?keywords=Enrico%20Cattabiani%20IDN" TargetMode="External" Id="rId20"/><Relationship Type="http://schemas.openxmlformats.org/officeDocument/2006/relationships/hyperlink" Target="https://www.linkedin.com/search/results/people/?keywords=Pascal%20Klein%20Pyrum%20Innovations" TargetMode="External" Id="rId21"/><Relationship Type="http://schemas.openxmlformats.org/officeDocument/2006/relationships/hyperlink" Target="https://www.linkedin.com/search/results/people/?keywords=Christos%20Vasiliou%20KPMG%20Cyprus" TargetMode="External" Id="rId22"/><Relationship Type="http://schemas.openxmlformats.org/officeDocument/2006/relationships/hyperlink" Target="https://www.linkedin.com/search/results/people/?keywords=Miltos%20Michailas%20Alpha%20Bank" TargetMode="External" Id="rId23"/><Relationship Type="http://schemas.openxmlformats.org/officeDocument/2006/relationships/hyperlink" Target="https://www.linkedin.com/search/results/people/?keywords=Charis%20Kynigou%20AstroBank" TargetMode="External" Id="rId24"/><Relationship Type="http://schemas.openxmlformats.org/officeDocument/2006/relationships/hyperlink" Target="https://www.linkedin.com/search/results/people/?keywords=Takis%20Solomos%20Elikonos" TargetMode="External" Id="rId25"/><Relationship Type="http://schemas.openxmlformats.org/officeDocument/2006/relationships/hyperlink" Target="https://www.linkedin.com/search/results/people/?keywords=Christos%20Akkelides%20Argus%20Management" TargetMode="External" Id="rId26"/><Relationship Type="http://schemas.openxmlformats.org/officeDocument/2006/relationships/hyperlink" Target="https://www.linkedin.com/search/results/people/?keywords=Sergo%20Vashakmadze%20" TargetMode="External" Id="rId27"/><Relationship Type="http://schemas.openxmlformats.org/officeDocument/2006/relationships/hyperlink" Target="https://www.linkedin.com/search/results/people/?keywords=Rivage%20Investment%20climate%20debt" TargetMode="External" Id="rId28"/><Relationship Type="http://schemas.openxmlformats.org/officeDocument/2006/relationships/hyperlink" Target="https://www.linkedin.com/search/results/people/?keywords=Pierre-Antoine%20Machelon%20Eiffel%20Investment%20Group" TargetMode="External" Id="rId29"/><Relationship Type="http://schemas.openxmlformats.org/officeDocument/2006/relationships/hyperlink" Target="https://www.linkedin.com/search/results/people/?keywords=Polestar%20Capital%20Xycle" TargetMode="External" Id="rId30"/><Relationship Type="http://schemas.openxmlformats.org/officeDocument/2006/relationships/hyperlink" Target="https://www.linkedin.com/search/results/people/?keywords=Philippe%20Benaroya%20Infranity" TargetMode="External" Id="rId31"/><Relationship Type="http://schemas.openxmlformats.org/officeDocument/2006/relationships/hyperlink" Target="https://www.linkedin.com/search/results/people/?keywords=Emil%20Henry%20Tiger%20Infrastructure%20Partners" TargetMode="External" Id="rId32"/><Relationship Type="http://schemas.openxmlformats.org/officeDocument/2006/relationships/hyperlink" Target="https://www.linkedin.com/search/results/people/?keywords=Jaime%20Prieto%20Kartesia" TargetMode="External" Id="rId33"/><Relationship Type="http://schemas.openxmlformats.org/officeDocument/2006/relationships/hyperlink" Target="https://www.linkedin.com/search/results/people/?keywords=Alejandro%20Moya%20Incus%20Capital" TargetMode="External" Id="rId34"/><Relationship Type="http://schemas.openxmlformats.org/officeDocument/2006/relationships/hyperlink" Target="https://www.linkedin.com/search/results/people/?keywords=Cross%20Ocean%20Partners%20special%20situations" TargetMode="External" Id="rId35"/><Relationship Type="http://schemas.openxmlformats.org/officeDocument/2006/relationships/hyperlink" Target="https://www.linkedin.com/search/results/people/?keywords=Mubashir%20Mukadam%20Blantyre%20Capital" TargetMode="External" Id="rId36"/><Relationship Type="http://schemas.openxmlformats.org/officeDocument/2006/relationships/hyperlink" Target="https://www.linkedin.com/search/results/people/?keywords=Hayfin%20Special%20Opportunities" TargetMode="External" Id="rId37"/><Relationship Type="http://schemas.openxmlformats.org/officeDocument/2006/relationships/hyperlink" Target="https://www.linkedin.com/search/results/people/?keywords=Cecile%20Mayer-Levi%20Tikehau%20Capital" TargetMode="External" Id="rId38"/><Relationship Type="http://schemas.openxmlformats.org/officeDocument/2006/relationships/hyperlink" Target="https://www.linkedin.com/search/results/people/?keywords=Davidson%20Kempner%20Greece" TargetMode="External" Id="rId39"/><Relationship Type="http://schemas.openxmlformats.org/officeDocument/2006/relationships/hyperlink" Target="https://www.linkedin.com/search/results/people/?keywords=Aris%20Constantinides%20Kreos%20Capital" TargetMode="External" Id="rId40"/><Relationship Type="http://schemas.openxmlformats.org/officeDocument/2006/relationships/hyperlink" Target="https://www.linkedin.com/search/results/people/?keywords=Johan%20Kampe%20Claret%20Capital%20Partners" TargetMode="External" Id="rId41"/><Relationship Type="http://schemas.openxmlformats.org/officeDocument/2006/relationships/hyperlink" Target="https://www.linkedin.com/search/results/people/?keywords=Atempo%20Growth%20Madrid" TargetMode="External" Id="rId42"/><Relationship Type="http://schemas.openxmlformats.org/officeDocument/2006/relationships/hyperlink" Target="https://www.linkedin.com/search/results/people/?keywords=John%20Mazarakis%20Chicago%20Atlantic" TargetMode="External" Id="rId43"/><Relationship Type="http://schemas.openxmlformats.org/officeDocument/2006/relationships/hyperlink" Target="https://www.linkedin.com/search/results/people/?keywords=Daniel%20Neville%20AFC%20Gamma" TargetMode="External" Id="rId44"/><Relationship Type="http://schemas.openxmlformats.org/officeDocument/2006/relationships/hyperlink" Target="https://www.linkedin.com/search/results/people/?keywords=Artemis%20Growth%20Partners%20cannabis" TargetMode="External" Id="rId45"/><Relationship Type="http://schemas.openxmlformats.org/officeDocument/2006/relationships/hyperlink" Target="https://www.linkedin.com/search/results/people/?keywords=Karan%20Wadhera%20Casa%20Verde%20Capital" TargetMode="External" Id="rId46"/><Relationship Type="http://schemas.openxmlformats.org/officeDocument/2006/relationships/hyperlink" Target="https://www.linkedin.com/search/results/people/?keywords=Curaleaf%20International%20corporate%20development" TargetMode="External" Id="rId47"/><Relationship Type="http://schemas.openxmlformats.org/officeDocument/2006/relationships/hyperlink" Target="https://www.linkedin.com/search/results/people/?keywords=Philip%20Schetter%20Cantourage" TargetMode="External" Id="rId48"/><Relationship Type="http://schemas.openxmlformats.org/officeDocument/2006/relationships/hyperlink" Target="https://www.linkedin.com/search/results/people/?keywords=Niklas%20Kouparanis%20Bloomwell" TargetMode="External" Id="rId49"/><Relationship Type="http://schemas.openxmlformats.org/officeDocument/2006/relationships/hyperlink" Target="https://www.linkedin.com/search/results/people/?keywords=Organigram%20Sanity%20Group" TargetMode="External" Id="rId50"/><Relationship Type="http://schemas.openxmlformats.org/officeDocument/2006/relationships/hyperlink" Target="https://www.linkedin.com/search/results/people/?keywords=Viola%20Credit%20Europe" TargetMode="External" Id="rId51"/><Relationship Type="http://schemas.openxmlformats.org/officeDocument/2006/relationships/hyperlink" Target="https://www.linkedin.com/search/results/people/?keywords=Bruce%20Chapman%20Threadmark" TargetMode="External" Id="rId52"/><Relationship Type="http://schemas.openxmlformats.org/officeDocument/2006/relationships/hyperlink" Target="https://www.linkedin.com/search/results/people/?keywords=Etienne%20Deshormes%20Elm%20Capital" TargetMode="External" Id="rId53"/><Relationship Type="http://schemas.openxmlformats.org/officeDocument/2006/relationships/hyperlink" Target="https://www.linkedin.com/search/results/people/?keywords=Sunaina%20Sinha%20Cebile%20Capital" TargetMode="External" Id="rId54"/><Relationship Type="http://schemas.openxmlformats.org/officeDocument/2006/relationships/hyperlink" Target="https://www.linkedin.com/search/results/people/?keywords=Alantra%20Athens" TargetMode="External" Id="rId55"/><Relationship Type="http://schemas.openxmlformats.org/officeDocument/2006/relationships/hyperlink" Target="https://www.linkedin.com/search/results/people/?keywords=BASF%20ChemCycling%20pyrolysis%20oil" TargetMode="External" Id="rId56"/><Relationship Type="http://schemas.openxmlformats.org/officeDocument/2006/relationships/hyperlink" Target="https://www.linkedin.com/search/results/people/?keywords=Continental%20recovered%20carbon%20black%20Pyrum" TargetMode="External" Id="rId57"/><Relationship Type="http://schemas.openxmlformats.org/officeDocument/2006/relationships/hyperlink" Target="https://www.linkedin.com/search/results/people/?keywords=Ecoelastika%20" TargetMode="External" Id="rId58"/><Relationship Type="http://schemas.openxmlformats.org/officeDocument/2006/relationships/hyperlink" Target="https://www.linkedin.com/search/results/people/?keywords=Growthfund%20HCAP" TargetMode="External" Id="rId59"/><Relationship Type="http://schemas.openxmlformats.org/officeDocument/2006/relationships/hyperlink" Target="https://www.linkedin.com/search/results/people/?keywords=Piraeus%20Bank%20project%20finance" TargetMode="External" Id="rId60"/><Relationship Type="http://schemas.openxmlformats.org/officeDocument/2006/relationships/hyperlink" Target="https://www.linkedin.com/search/results/people/?keywords=Eurobank%20project%20finance" TargetMode="External" Id="rId61"/></Relationships>
</file>

<file path=xl/worksheets/_rels/sheet9.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0.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5.xml.rels><Relationships xmlns="http://schemas.openxmlformats.org/package/2006/relationships"><Relationship Type="http://schemas.openxmlformats.org/officeDocument/2006/relationships/hyperlink" Target="https://www.cascadedebt.com/insights/private-debt-and-alternative-credit-investors-in-europe" TargetMode="External" Id="rId1"/><Relationship Type="http://schemas.openxmlformats.org/officeDocument/2006/relationships/hyperlink" Target="https://alternativecreditinvestor.com/2025/12/16/europe-grows-share-of-private-credit-fundraising-in-2025/" TargetMode="External" Id="rId2"/><Relationship Type="http://schemas.openxmlformats.org/officeDocument/2006/relationships/hyperlink" Target="https://pitchbook.com/news/articles/record-european-private-debt-fundraising-signals-shift-in-global-capital-allocation" TargetMode="External" Id="rId3"/><Relationship Type="http://schemas.openxmlformats.org/officeDocument/2006/relationships/hyperlink" Target="https://www.spglobal.com/en/press/press-release/all-eyes-on-europe-as-cracks-emerge-in-private-credit" TargetMode="External" Id="rId4"/><Relationship Type="http://schemas.openxmlformats.org/officeDocument/2006/relationships/hyperlink" Target="https://alternativecreditinvestor.com/2026/08/25/european-direct-lending-hits-record-despite-q2-dip/" TargetMode="External" Id="rId5"/><Relationship Type="http://schemas.openxmlformats.org/officeDocument/2006/relationships/hyperlink" Target="https://www.deloitte.com/uk/en/services/consulting-financial/research/private-debt-deal-tracker.html" TargetMode="External" Id="rId6"/><Relationship Type="http://schemas.openxmlformats.org/officeDocument/2006/relationships/hyperlink" Target="https://www.valuationresearch.com/insights/european-private-market-update-q2-2026/" TargetMode="External" Id="rId7"/><Relationship Type="http://schemas.openxmlformats.org/officeDocument/2006/relationships/hyperlink" Target="https://pitchbook.com/news/reports/2025-annual-global-private-debt-report" TargetMode="External" Id="rId8"/><Relationship Type="http://schemas.openxmlformats.org/officeDocument/2006/relationships/hyperlink" Target="https://www.withintelligence.com/insights/private-credit-outlook-2026/" TargetMode="External" Id="rId9"/><Relationship Type="http://schemas.openxmlformats.org/officeDocument/2006/relationships/hyperlink" Target="https://www.allianzgi.com/en/insights/private-credit-investors-are-turning-to-Europe" TargetMode="External" Id="rId10"/><Relationship Type="http://schemas.openxmlformats.org/officeDocument/2006/relationships/hyperlink" Target="https://www.ecb.europa.eu/press/financial-stability-publications/fsr/special/html/ecb.fsrart202605_04~3f2135af91.en.html" TargetMode="External" Id="rId11"/><Relationship Type="http://schemas.openxmlformats.org/officeDocument/2006/relationships/hyperlink" Target="https://www.ecb.europa.eu/press/pr/date/2026/html/ecb.mp260611~4d41bd5e83.en.html" TargetMode="External" Id="rId12"/><Relationship Type="http://schemas.openxmlformats.org/officeDocument/2006/relationships/hyperlink" Target="https://www.jonesday.com/en/insights/2025/12/aifmd-ii-implementation-the-final-countdown" TargetMode="External" Id="rId13"/><Relationship Type="http://schemas.openxmlformats.org/officeDocument/2006/relationships/hyperlink" Target="https://www.lckfs.com/post/aifmd-ii-in-cyprus-supervision-ahead-of-legislation" TargetMode="External" Id="rId14"/><Relationship Type="http://schemas.openxmlformats.org/officeDocument/2006/relationships/hyperlink" Target="https://practiceguides.chambers.com/practice-guides/investment-funds-2026/cyprus" TargetMode="External" Id="rId15"/><Relationship Type="http://schemas.openxmlformats.org/officeDocument/2006/relationships/hyperlink" Target="https://practiceguides.chambers.com/practice-guides/private-credit-2026/greece/trends-and-developments" TargetMode="External" Id="rId16"/><Relationship Type="http://schemas.openxmlformats.org/officeDocument/2006/relationships/hyperlink" Target="https://www.scopeexplorer.com/en/reports/eltif-study-2026-market-overview-and-outlook/236" TargetMode="External" Id="rId17"/><Relationship Type="http://schemas.openxmlformats.org/officeDocument/2006/relationships/hyperlink" Target="https://maples.com/knowledge/european-fund-finance-market-update-2026" TargetMode="External" Id="rId18"/><Relationship Type="http://schemas.openxmlformats.org/officeDocument/2006/relationships/hyperlink" Target="https://www.eib.org/en/press/all/2026-041-greece-gets-record-high-eib-group-financing-of-eur3-5-billion-in-2025-with-focus-on-climate-action-water-networks-business-growth-and-raw-materials" TargetMode="External" Id="rId19"/><Relationship Type="http://schemas.openxmlformats.org/officeDocument/2006/relationships/hyperlink" Target="https://www.ebrd.com/home/news-and-events/news/2025/ebrd-mandate-for-new-operations-in-greece-to-reach-its-end.html" TargetMode="External" Id="rId20"/><Relationship Type="http://schemas.openxmlformats.org/officeDocument/2006/relationships/hyperlink" Target="https://www.eib.org/en/press/all/2025-343-eif-and-eurobank-join-forces-to-channel-eur62-5-million-in-new-financing-to-cypriot-smes-and-start-ups" TargetMode="External" Id="rId21"/><Relationship Type="http://schemas.openxmlformats.org/officeDocument/2006/relationships/hyperlink" Target="https://ec.europa.eu/assets/cinea/project_fiches/innovation_fund/101250821.pdf" TargetMode="External" Id="rId22"/><Relationship Type="http://schemas.openxmlformats.org/officeDocument/2006/relationships/hyperlink" Target="https://www.pyrum.net/en/corporate-news/pyrum-innovations-ag-milestone-for-europes-circular-economy-294-mio-e-eu-funding-for-major-project-in-greece/" TargetMode="External" Id="rId23"/><Relationship Type="http://schemas.openxmlformats.org/officeDocument/2006/relationships/hyperlink" Target="https://apmoller.com/news/novo-holdings-and-a-p-moller-holding-back-circtec-a-leader-in-pyrolysis-for-sustainable-end-of-life-tyre-recycling-in-a-e150-million-financing-round/" TargetMode="External" Id="rId24"/><Relationship Type="http://schemas.openxmlformats.org/officeDocument/2006/relationships/hyperlink" Target="https://www.circtec.com/wp-content/uploads/2024/05/2024-May-Circtec-bp-press-release-copy-for-website.pdf" TargetMode="External" Id="rId25"/><Relationship Type="http://schemas.openxmlformats.org/officeDocument/2006/relationships/hyperlink" Target="https://www.prnewswire.com/news-releases/tiger-infrastructure-partners-completes-transformational-growth-investment-in-bolder-industries-a-circular-economy-infrastructure-platform-converting-end-of-life-tires-into-sustainable-materials-302372336.html" TargetMode="External" Id="rId26"/><Relationship Type="http://schemas.openxmlformats.org/officeDocument/2006/relationships/hyperlink" Target="https://www.recyclingtoday.com/news/xycle-secures-financing-for-commercial-scale-plastics-recycling-plant/" TargetMode="External" Id="rId27"/><Relationship Type="http://schemas.openxmlformats.org/officeDocument/2006/relationships/hyperlink" Target="https://www.tyreandrubberrecycling.com/articles/business-news/infiniteria-moves-to-block-scandinavian-enviro-systems-reorganisation-and-claims-e84m" TargetMode="External" Id="rId28"/><Relationship Type="http://schemas.openxmlformats.org/officeDocument/2006/relationships/hyperlink" Target="https://www.euwid-recycling.com/news/business/administrators-appointed-for-plastic-energy-in-england-060526/" TargetMode="External" Id="rId29"/><Relationship Type="http://schemas.openxmlformats.org/officeDocument/2006/relationships/hyperlink" Target="https://www.euwid-recycling.com/news/business/viridor-proposes-shutdown-of-quantafuel-chemical-recycling-activities-130526/" TargetMode="External" Id="rId30"/><Relationship Type="http://schemas.openxmlformats.org/officeDocument/2006/relationships/hyperlink" Target="https://www.european-rubber-journal.com/article/2099180/pyrum-more-than-doubles-2025-revenue-but-delays-earnings-breakeven" TargetMode="External" Id="rId31"/><Relationship Type="http://schemas.openxmlformats.org/officeDocument/2006/relationships/hyperlink" Target="https://resource-recycling.com/plastics/2025/03/19/brightmark-defaults-on-indiana-bonds-pursues-facility-sale/" TargetMode="External" Id="rId32"/><Relationship Type="http://schemas.openxmlformats.org/officeDocument/2006/relationships/hyperlink" Target="https://alternativecreditinvestor.com/2025/12/18/infranity-raises-e3-2bn-for-private-debt-strategies/" TargetMode="External" Id="rId33"/><Relationship Type="http://schemas.openxmlformats.org/officeDocument/2006/relationships/hyperlink" Target="https://www.rivageinvestment.com/en/strategies/european-climate-debt-solutions/" TargetMode="External" Id="rId34"/><Relationship Type="http://schemas.openxmlformats.org/officeDocument/2006/relationships/hyperlink" Target="https://realassets.ipe.com/news/eiffel-investment-reaches-12bn-hard-cap-for-energy-transition-iii/10134125.article" TargetMode="External" Id="rId35"/><Relationship Type="http://schemas.openxmlformats.org/officeDocument/2006/relationships/hyperlink" Target="https://kartesia.com/news/kartesia-raises-e1-3-billion-for-latest-credit-opportunities-fund/" TargetMode="External" Id="rId36"/><Relationship Type="http://schemas.openxmlformats.org/officeDocument/2006/relationships/hyperlink" Target="https://www.hayfin.com/hayfin-announces-record-close-of-direct-lending-fund-v-in-excess-of-e15bn/" TargetMode="External" Id="rId37"/><Relationship Type="http://schemas.openxmlformats.org/officeDocument/2006/relationships/hyperlink" Target="https://alternativecreditinvestor.com/2026/07/24/tikehau-capital-raises-e5-2bn-for-latest-european-direct-lending-fund/" TargetMode="External" Id="rId38"/><Relationship Type="http://schemas.openxmlformats.org/officeDocument/2006/relationships/hyperlink" Target="https://elikonos.com/elikonos-3-first-closing-175m/" TargetMode="External" Id="rId39"/><Relationship Type="http://schemas.openxmlformats.org/officeDocument/2006/relationships/hyperlink" Target="https://cannabis-europa.com/insights/cannabis-investment-europe-2026/" TargetMode="External" Id="rId40"/><Relationship Type="http://schemas.openxmlformats.org/officeDocument/2006/relationships/hyperlink" Target="https://businessofcannabis.com/eu-cannabis-regulation/" TargetMode="External" Id="rId41"/><Relationship Type="http://schemas.openxmlformats.org/officeDocument/2006/relationships/hyperlink" Target="https://www.globenewswire.com/news-release/2026/06/22/3315301/0/en/InterCure-Secures-NIS-22-Million-in-Private-Placement-Financing-Led-by-Leading-Pharma-Focused-Hedge-Funds.html" TargetMode="External" Id="rId42"/><Relationship Type="http://schemas.openxmlformats.org/officeDocument/2006/relationships/hyperlink" Target="https://www.kingsleynapley.co.uk/insights/blogs/criminal-law-blog/cannabis-and-the-uk-investor-two-years-on" TargetMode="External" Id="rId43"/><Relationship Type="http://schemas.openxmlformats.org/officeDocument/2006/relationships/hyperlink" Target="https://medium.com/@nathanbeckord/why-lps-ignore-95-of-cold-outreach-and-how-to-be-the-5-they-reply-to-66978d490985" TargetMode="External" Id="rId44"/><Relationship Type="http://schemas.openxmlformats.org/officeDocument/2006/relationships/hyperlink" Target="https://getreplies.ai/blog/cold-email-vs-linkedin-outreach-2026/" TargetMode="External" Id="rId45"/><Relationship Type="http://schemas.openxmlformats.org/officeDocument/2006/relationships/hyperlink" Target="https://pipelineroad.com/blog/placement-agent-fees-2026" TargetMode="External" Id="rId46"/><Relationship Type="http://schemas.openxmlformats.org/officeDocument/2006/relationships/hyperlink" Target="https://www.threadmark.com/" TargetMode="External" Id="rId47"/></Relationships>
</file>

<file path=xl/worksheets/sheet1.xml><?xml version="1.0" encoding="utf-8"?>
<worksheet xmlns="http://schemas.openxmlformats.org/spreadsheetml/2006/main">
  <sheetPr>
    <tabColor rgb="001F2A44"/>
    <outlinePr summaryBelow="1" summaryRight="1"/>
    <pageSetUpPr/>
  </sheetPr>
  <dimension ref="A1:B9"/>
  <sheetViews>
    <sheetView showGridLines="0" workbookViewId="0">
      <selection activeCell="A1" sqref="A1"/>
    </sheetView>
  </sheetViews>
  <sheetFormatPr baseColWidth="8" defaultRowHeight="15"/>
  <cols>
    <col width="34" customWidth="1" min="1" max="1"/>
    <col width="120" customWidth="1" min="2" max="2"/>
  </cols>
  <sheetData>
    <row r="1">
      <c r="A1" s="1" t="inlineStr">
        <is>
          <t>Europe Private Debt &amp; Alternative Credit Investors - Relevance to the CPEF I Curity and Impactus Pyrolysis (IPL) raises</t>
        </is>
      </c>
    </row>
    <row r="2">
      <c r="A2" s="2" t="inlineStr">
        <is>
          <t>Impactus Private Equity Group - internal working workbook - prepared 22 September 2026 - source article: Cascade Debt, 'Private Debt and Alternative Credit Investors in Europe' (2026 Europe Private ABF Investor Market Map)</t>
        </is>
      </c>
    </row>
    <row r="4" ht="60" customHeight="1">
      <c r="A4" s="3" t="inlineStr">
        <is>
          <t>Purpose</t>
        </is>
      </c>
      <c r="B4" s="4" t="inlineStr">
        <is>
          <t>Map the European private debt / alternative credit investor universe (Cascade 2026 ABF map plus the wider direct lending, special situations, infrastructure credit, venture debt, impact and DFI universe), score each firm for relevance to the IPL (€5m equity + €35m venture debt + senior refinancing optionality) and CPEF (8% note today; €3m to €10m growth facility next) raises, and give a named, channel-specific contact plan.</t>
        </is>
      </c>
    </row>
    <row r="5" ht="90" customHeight="1">
      <c r="A5" s="3" t="inlineStr">
        <is>
          <t>How to read the tabs</t>
        </is>
      </c>
      <c r="B5" s="4" t="inlineStr">
        <is>
          <t>1 Exec_Summary: headline counts and capacity. 2 Market_Overview: sourced market data. 3 Segment_Map: which credit segment fits which Impactus need. 4 Cascade_Map_2026: the article's investor map transcribed and scored. 5 Investor_Universe: scored target list (firm level). 6 Contacts: named decision-makers with channel recommendation. 7 Existing_Pipeline: warm relationships already in Impactus records. 8 IPL_Debt_Capacity and 9 CPEF_Debt_Capacity: live models. 10 Outreach_Plan and 11 Conferences. 12 Scoring_Weights: change weights here. 13 Sources.</t>
        </is>
      </c>
    </row>
    <row r="6" ht="30" customHeight="1">
      <c r="A6" s="3" t="inlineStr">
        <is>
          <t>Colour legend</t>
        </is>
      </c>
      <c r="B6" s="4" t="inlineStr">
        <is>
          <t>Blue text on yellow = input you can change. Black = formula or fixed data. Green = link to another tab. Scores recalculate when weights on Scoring_Weights change.</t>
        </is>
      </c>
    </row>
    <row r="7" ht="60" customHeight="1">
      <c r="A7" s="3" t="inlineStr">
        <is>
          <t>Data status</t>
        </is>
      </c>
      <c r="B7" s="4" t="inlineStr">
        <is>
          <t>External figures are sourced (see Sources tab, URL per row). Contact emails: only those published on public pages are shown as 'published'; 'pattern - unverified' means the firm's public address format, to be verified before sending. LinkedIn URLs are public profile URLs found in September 2026. Apollo.io enrichment was not available in this session (free plan blocks API search and enrichment), so no purchased data is included.</t>
        </is>
      </c>
    </row>
    <row r="8" ht="45" customHeight="1">
      <c r="A8" s="3" t="inlineStr">
        <is>
          <t>Analytical stance</t>
        </is>
      </c>
      <c r="B8" s="4" t="inlineStr">
        <is>
          <t>Bear case first. Rows flagged 'DD challenge' name the objection an LP due-diligence lead, lender credit committee or CySEC reviewer would raise. The memo (Word) carries the argued position; this workbook carries the evidence and the working models.</t>
        </is>
      </c>
    </row>
    <row r="9" ht="120" customHeight="1">
      <c r="A9" s="3" t="inlineStr">
        <is>
          <t>Disclaimer</t>
        </is>
      </c>
      <c r="B9" s="4" t="inlineStr">
        <is>
          <t>AIFMD Art. 23 disclosure: Impactus RAIF V.C.I.C. Plc is a Registered Alternative Investment Fund (CySEC RAIF16) externally managed by Argus Management Ltd (CySEC AIFM 44/56/2013). This workbook is an internal working document prepared for the Sponsor and is not an offer, solicitation or marketing communication. Interests in the Fund and its sub-funds (Impactus Private Equity Fund, CPEF I Curity, Impactus Pyrolysis / IVP) are available only to professional and well-informed investors within the meaning of AIFMD Art. 4(1)(ag), MiFID II and the Cyprus AIF Law 124(I)/2018. Prospective investors must read the AIFMD Art. 23 disclosure document, the relevant offering supplement and term sheet before investing. Targets are gross, forward-looking and not guaranteed; capital is at risk. Third-party names are used for identification only and do not imply endorsement.</t>
        </is>
      </c>
    </row>
  </sheetData>
  <pageMargins left="0.75" right="0.75" top="1" bottom="1" header="0.5" footer="0.5"/>
</worksheet>
</file>

<file path=xl/worksheets/sheet2.xml><?xml version="1.0" encoding="utf-8"?>
<worksheet xmlns="http://schemas.openxmlformats.org/spreadsheetml/2006/main">
  <sheetPr>
    <tabColor rgb="001F2A44"/>
    <outlinePr summaryBelow="1" summaryRight="1"/>
    <pageSetUpPr/>
  </sheetPr>
  <dimension ref="A1:C20"/>
  <sheetViews>
    <sheetView showGridLines="0" workbookViewId="0">
      <selection activeCell="A1" sqref="A1"/>
    </sheetView>
  </sheetViews>
  <sheetFormatPr baseColWidth="8" defaultRowHeight="15"/>
  <cols>
    <col width="70" customWidth="1" min="1" max="1"/>
    <col width="18" customWidth="1" min="2" max="2"/>
    <col width="80" customWidth="1" min="3" max="3"/>
  </cols>
  <sheetData>
    <row r="1">
      <c r="A1" s="1" t="inlineStr">
        <is>
          <t>Executive summary - the numbers behind the memo</t>
        </is>
      </c>
    </row>
    <row r="2">
      <c r="A2" s="2" t="inlineStr">
        <is>
          <t>All counts are live formulas over the scored tabs</t>
        </is>
      </c>
    </row>
    <row r="4" ht="30" customHeight="1">
      <c r="A4" s="5" t="inlineStr">
        <is>
          <t>Measure</t>
        </is>
      </c>
      <c r="B4" s="5" t="inlineStr">
        <is>
          <t>Value</t>
        </is>
      </c>
      <c r="C4" s="5" t="inlineStr">
        <is>
          <t>Read-across</t>
        </is>
      </c>
    </row>
    <row r="5">
      <c r="A5" s="6" t="inlineStr">
        <is>
          <t>Firms scored in the wider universe (Investor_Universe)</t>
        </is>
      </c>
      <c r="B5" s="7">
        <f>COUNTA(Investor_Universe!A5:A82)</f>
        <v/>
      </c>
      <c r="C5" s="6" t="inlineStr">
        <is>
          <t>Direct lending, special situations, infrastructure credit, venture debt, impact, DFI, cannabis credit, placement, fund finance</t>
        </is>
      </c>
    </row>
    <row r="6">
      <c r="A6" s="6" t="inlineStr">
        <is>
          <t>Firms on the Cascade 2026 Europe ABF map (Cascade_Map_2026)</t>
        </is>
      </c>
      <c r="B6" s="7">
        <f>COUNTA(Cascade_Map_2026!A5:A114)</f>
        <v/>
      </c>
      <c r="C6" s="6" t="inlineStr">
        <is>
          <t>The article's universe, transcribed and scored</t>
        </is>
      </c>
    </row>
    <row r="7">
      <c r="A7" s="6" t="inlineStr">
        <is>
          <t>Tier 1 targets - wider universe</t>
        </is>
      </c>
      <c r="B7" s="7">
        <f>COUNTIF(Investor_Universe!S5:S82,"Tier 1")</f>
        <v/>
      </c>
      <c r="C7" s="6" t="inlineStr">
        <is>
          <t>Approach in Wave 1 (weeks 1-4)</t>
        </is>
      </c>
    </row>
    <row r="8">
      <c r="A8" s="6" t="inlineStr">
        <is>
          <t>Tier 1 targets - Cascade map</t>
        </is>
      </c>
      <c r="B8" s="7">
        <f>COUNTIF(Cascade_Map_2026!S5:S114,"Tier 1")</f>
        <v/>
      </c>
      <c r="C8" s="6" t="inlineStr">
        <is>
          <t>ABF investors that could still do a single hard asset or a receivables/inventory line</t>
        </is>
      </c>
    </row>
    <row r="9">
      <c r="A9" s="6" t="inlineStr">
        <is>
          <t>Tier 2 targets - both tabs</t>
        </is>
      </c>
      <c r="B9" s="7">
        <f>COUNTIF(Investor_Universe!S5:S82,"Tier 2")+COUNTIF(Cascade_Map_2026!S5:S114,"Tier 2")</f>
        <v/>
      </c>
      <c r="C9" s="6" t="inlineStr">
        <is>
          <t>Wave 2 (weeks 5-10)</t>
        </is>
      </c>
    </row>
    <row r="10">
      <c r="A10" s="6" t="inlineStr">
        <is>
          <t>Named contacts with a warm path</t>
        </is>
      </c>
      <c r="B10" s="7">
        <f>COUNTIF(Contacts!I5:I72,"&lt;&gt;")</f>
        <v/>
      </c>
      <c r="C10" s="6" t="inlineStr">
        <is>
          <t>Use first</t>
        </is>
      </c>
    </row>
    <row r="11">
      <c r="A11" s="6" t="inlineStr">
        <is>
          <t>Named contacts with a published email</t>
        </is>
      </c>
      <c r="B11" s="7">
        <f>COUNTIF(Contacts!H5:H72,"published")</f>
        <v/>
      </c>
      <c r="C11" s="6" t="inlineStr">
        <is>
          <t>Email + LinkedIn note same day</t>
        </is>
      </c>
    </row>
    <row r="12">
      <c r="A12" s="6" t="inlineStr">
        <is>
          <t>Named contacts with LinkedIn only</t>
        </is>
      </c>
      <c r="B12" s="7">
        <f>COUNTIFS(Contacts!F5:F72,"&lt;&gt;not found",Contacts!H5:H72,"&lt;&gt;published")</f>
        <v/>
      </c>
      <c r="C12" s="6" t="inlineStr">
        <is>
          <t>LinkedIn first</t>
        </is>
      </c>
    </row>
    <row r="13">
      <c r="A13" s="6" t="inlineStr">
        <is>
          <t>Total named contacts</t>
        </is>
      </c>
      <c r="B13" s="7">
        <f>COUNTA(Contacts!B5:B72)</f>
        <v/>
      </c>
      <c r="C13" s="6" t="inlineStr"/>
    </row>
    <row r="14">
      <c r="A14" s="6" t="inlineStr">
        <is>
          <t>IPL: senior debt capacity on model CFADS at 1.5x DSCR (€m)</t>
        </is>
      </c>
      <c r="B14" s="8">
        <f>IPL_Debt_Capacity!E16</f>
        <v/>
      </c>
      <c r="C14" s="6" t="inlineStr">
        <is>
          <t>vs €77.4m in the Sponsor plan</t>
        </is>
      </c>
    </row>
    <row r="15">
      <c r="A15" s="6" t="inlineStr">
        <is>
          <t>IPL: senior debt capacity at contracted gate fee (€62/t on 11ktpa ~ €15/t on 45ktpa), €1,500/t rCB (€m)</t>
        </is>
      </c>
      <c r="B15" s="8">
        <f>PV(IPL_Debt_Capacity!B19,IPL_Debt_Capacity!B20,-(((IPL_Debt_Capacity!B5*IPL_Debt_Capacity!B6*IPL_Debt_Capacity!B7+IPL_Debt_Capacity!B5*IPL_Debt_Capacity!B8*IPL_Debt_Capacity!B9+IPL_Debt_Capacity!B5*IPL_Debt_Capacity!B10*IPL_Debt_Capacity!B11+IPL_Debt_Capacity!B5*15+IPL_Debt_Capacity!B5*IPL_Debt_Capacity!B13)/1000000-IPL_Debt_Capacity!E11)*(1-IPL_Debt_Capacity!B16)-IPL_Debt_Capacity!B5*IPL_Debt_Capacity!B15/1000000)/IPL_Debt_Capacity!B21)</f>
        <v/>
      </c>
      <c r="C15" s="6" t="inlineStr">
        <is>
          <t>What a credit committee sizes on today</t>
        </is>
      </c>
    </row>
    <row r="16">
      <c r="A16" s="6" t="inlineStr">
        <is>
          <t>IPL: funding gap vs plan if capex stress applies (€m)</t>
        </is>
      </c>
      <c r="B16" s="8">
        <f>IPL_Debt_Capacity!E26</f>
        <v/>
      </c>
      <c r="C16" s="6" t="inlineStr">
        <is>
          <t>Negative = shortfall to be filled by private credit or equity</t>
        </is>
      </c>
    </row>
    <row r="17">
      <c r="A17" s="6" t="inlineStr">
        <is>
          <t>IPL: venture-debt all-in cost</t>
        </is>
      </c>
      <c r="B17" s="9">
        <f>IPL_Debt_Capacity!E20</f>
        <v/>
      </c>
      <c r="C17" s="6" t="inlineStr">
        <is>
          <t>4% cash + 5% PIK + warrants</t>
        </is>
      </c>
    </row>
    <row r="18">
      <c r="A18" s="6" t="inlineStr">
        <is>
          <t>IPL: blended cost of capital</t>
        </is>
      </c>
      <c r="B18" s="9">
        <f>IPL_Debt_Capacity!E29</f>
        <v/>
      </c>
      <c r="C18" s="6" t="inlineStr"/>
    </row>
    <row r="19">
      <c r="A19" s="6" t="inlineStr">
        <is>
          <t>CPEF: growth-facility headroom at stressed plan (€m)</t>
        </is>
      </c>
      <c r="B19" s="8">
        <f>CPEF_Debt_Capacity!E8</f>
        <v/>
      </c>
      <c r="C19" s="6" t="inlineStr">
        <is>
          <t>At 2.5x leverage on €3.00/g stressed EBITDA</t>
        </is>
      </c>
    </row>
    <row r="20">
      <c r="A20" s="6" t="inlineStr">
        <is>
          <t>CPEF: all-in cost of a specialist growth facility</t>
        </is>
      </c>
      <c r="B20" s="9">
        <f>CPEF_Debt_Capacity!E14</f>
        <v/>
      </c>
      <c r="C20" s="6" t="inlineStr">
        <is>
          <t>vs 8% note</t>
        </is>
      </c>
    </row>
  </sheetData>
  <pageMargins left="0.75" right="0.75" top="1" bottom="1" header="0.5" footer="0.5"/>
</worksheet>
</file>

<file path=xl/worksheets/sheet3.xml><?xml version="1.0" encoding="utf-8"?>
<worksheet xmlns="http://schemas.openxmlformats.org/spreadsheetml/2006/main">
  <sheetPr>
    <tabColor rgb="007F7F7F"/>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52" customWidth="1" min="1" max="1"/>
    <col width="16" customWidth="1" min="2" max="2"/>
    <col width="12" customWidth="1" min="3" max="3"/>
    <col width="16" customWidth="1" min="4" max="4"/>
    <col width="46" customWidth="1" min="5" max="5"/>
    <col width="70" customWidth="1" min="6" max="6"/>
  </cols>
  <sheetData>
    <row r="1">
      <c r="A1" s="1" t="inlineStr">
        <is>
          <t>European private debt and alternative credit - market data (sourced)</t>
        </is>
      </c>
    </row>
    <row r="2">
      <c r="A2" s="2" t="inlineStr">
        <is>
          <t>Figures as published; where sources conflict both are shown. See Sources tab for URLs.</t>
        </is>
      </c>
    </row>
    <row r="4" ht="30" customHeight="1">
      <c r="A4" s="5" t="inlineStr">
        <is>
          <t>Metric</t>
        </is>
      </c>
      <c r="B4" s="5" t="inlineStr">
        <is>
          <t>Value</t>
        </is>
      </c>
      <c r="C4" s="5" t="inlineStr">
        <is>
          <t>Unit</t>
        </is>
      </c>
      <c r="D4" s="5" t="inlineStr">
        <is>
          <t>Period</t>
        </is>
      </c>
      <c r="E4" s="5" t="inlineStr">
        <is>
          <t>Source</t>
        </is>
      </c>
      <c r="F4" s="5" t="inlineStr">
        <is>
          <t>Relevance to Impactus raise</t>
        </is>
      </c>
    </row>
    <row r="5">
      <c r="A5" s="6" t="inlineStr">
        <is>
          <t>European private credit AUM</t>
        </is>
      </c>
      <c r="B5" s="6" t="inlineStr">
        <is>
          <t>c.€400b (other estimate US$340b)</t>
        </is>
      </c>
      <c r="C5" s="6" t="inlineStr">
        <is>
          <t>€b</t>
        </is>
      </c>
      <c r="D5" s="6" t="inlineStr">
        <is>
          <t>2026</t>
        </is>
      </c>
      <c r="E5" s="6" t="inlineStr">
        <is>
          <t>AllianzGI / Revelle Capital; ctacquisitions (cites Preqin)</t>
        </is>
      </c>
      <c r="F5" s="6" t="inlineStr">
        <is>
          <t>The pool is large; the constraint for Impactus is fit, not supply</t>
        </is>
      </c>
    </row>
    <row r="6">
      <c r="A6" s="6" t="inlineStr">
        <is>
          <t>Global private credit AUM</t>
        </is>
      </c>
      <c r="B6" s="6" t="inlineStr">
        <is>
          <t>c.US$1.7t (broader definitions &gt;US$2.5t)</t>
        </is>
      </c>
      <c r="C6" s="6" t="inlineStr">
        <is>
          <t>US$t</t>
        </is>
      </c>
      <c r="D6" s="6" t="inlineStr">
        <is>
          <t>2025-26</t>
        </is>
      </c>
      <c r="E6" s="6" t="inlineStr">
        <is>
          <t>Preqin 2025 global report; ctacquisitions</t>
        </is>
      </c>
      <c r="F6" s="6" t="inlineStr">
        <is>
          <t>Context only</t>
        </is>
      </c>
    </row>
    <row r="7">
      <c r="A7" s="6" t="inlineStr">
        <is>
          <t>Europe private debt fundraising FY2025</t>
        </is>
      </c>
      <c r="B7" s="6" t="inlineStr">
        <is>
          <t>US$79.4b (PitchBook); US$69.9b (S&amp;P / With Intelligence)</t>
        </is>
      </c>
      <c r="C7" s="6" t="inlineStr">
        <is>
          <t>US$b</t>
        </is>
      </c>
      <c r="D7" s="6" t="inlineStr">
        <is>
          <t>FY2025</t>
        </is>
      </c>
      <c r="E7" s="6" t="inlineStr">
        <is>
          <t>PitchBook; S&amp;P press release</t>
        </is>
      </c>
      <c r="F7" s="6" t="inlineStr">
        <is>
          <t>Second-highest year ever; +29% to +40% YoY depending on source</t>
        </is>
      </c>
    </row>
    <row r="8">
      <c r="A8" s="6" t="inlineStr">
        <is>
          <t>Europe share of global private credit fundraising</t>
        </is>
      </c>
      <c r="B8" s="6" t="inlineStr">
        <is>
          <t>23% (2024) to 46% (2025)</t>
        </is>
      </c>
      <c r="C8" s="6" t="inlineStr">
        <is>
          <t>%</t>
        </is>
      </c>
      <c r="D8" s="6" t="inlineStr">
        <is>
          <t>2025</t>
        </is>
      </c>
      <c r="E8" s="6" t="inlineStr">
        <is>
          <t>Alternative Credit Investor 16-12-2025; PitchBook</t>
        </is>
      </c>
      <c r="F8" s="6" t="inlineStr">
        <is>
          <t>Capital is rotating to Europe - the window for European stories is open</t>
        </is>
      </c>
    </row>
    <row r="9">
      <c r="A9" s="6" t="inlineStr">
        <is>
          <t>Direct lending share of European capital raised</t>
        </is>
      </c>
      <c r="B9" s="6" t="inlineStr">
        <is>
          <t>61.5%</t>
        </is>
      </c>
      <c r="C9" s="6" t="inlineStr">
        <is>
          <t>%</t>
        </is>
      </c>
      <c r="D9" s="6" t="inlineStr">
        <is>
          <t>9M 2025</t>
        </is>
      </c>
      <c r="E9" s="6" t="inlineStr">
        <is>
          <t>Alternative Credit Investor 16-12-2025 (Preqin)</t>
        </is>
      </c>
      <c r="F9" s="6" t="inlineStr">
        <is>
          <t>Most of the money is corporate sponsor-backed lending - not IPL or CPEF's segment</t>
        </is>
      </c>
    </row>
    <row r="10">
      <c r="A10" s="6" t="inlineStr">
        <is>
          <t>Concentration of fundraising</t>
        </is>
      </c>
      <c r="B10" s="6" t="inlineStr">
        <is>
          <t>93.1% of global private debt capital to managers on Fund IV or later</t>
        </is>
      </c>
      <c r="C10" s="6" t="inlineStr">
        <is>
          <t>%</t>
        </is>
      </c>
      <c r="D10" s="6" t="inlineStr">
        <is>
          <t>2025</t>
        </is>
      </c>
      <c r="E10" s="6" t="inlineStr">
        <is>
          <t>PitchBook 2025 Annual Global Private Debt Report</t>
        </is>
      </c>
      <c r="F10" s="6" t="inlineStr">
        <is>
          <t>LPs back scale; a first-time sub-€100m GP will not raise from these allocators directly</t>
        </is>
      </c>
    </row>
    <row r="11">
      <c r="A11" s="6" t="inlineStr">
        <is>
          <t>European direct lending deal volume Q2 2026</t>
        </is>
      </c>
      <c r="B11" s="6" t="inlineStr">
        <is>
          <t>€28.4b / 296 deals (Q2 2025: €38.0b / 367); Q1 2026 €34.8b / 303</t>
        </is>
      </c>
      <c r="C11" s="6" t="inlineStr">
        <is>
          <t>€b</t>
        </is>
      </c>
      <c r="D11" s="6" t="inlineStr">
        <is>
          <t>Q2 2026</t>
        </is>
      </c>
      <c r="E11" s="6" t="inlineStr">
        <is>
          <t>Alternative Credit Investor 25-08-2026</t>
        </is>
      </c>
      <c r="F11" s="6" t="inlineStr">
        <is>
          <t>Deal flow slowing; lenders have dry powder and are competing for assets</t>
        </is>
      </c>
    </row>
    <row r="12">
      <c r="A12" s="6" t="inlineStr">
        <is>
          <t>Deloitte Private Debt Deal Tracker H1 2025</t>
        </is>
      </c>
      <c r="B12" s="6" t="inlineStr">
        <is>
          <t>421 deals; avg deal size €204.9m; 89 lenders</t>
        </is>
      </c>
      <c r="C12" s="6" t="inlineStr">
        <is>
          <t>count</t>
        </is>
      </c>
      <c r="D12" s="6" t="inlineStr">
        <is>
          <t>H1 2025</t>
        </is>
      </c>
      <c r="E12" s="6" t="inlineStr">
        <is>
          <t>Deloitte UK Private Debt Deal Tracker (Autumn 2025)</t>
        </is>
      </c>
      <c r="F12" s="6" t="inlineStr">
        <is>
          <t>Average ticket is 5x to 40x Impactus' need - target the lower-mid and specialist tail</t>
        </is>
      </c>
    </row>
    <row r="13">
      <c r="A13" s="6" t="inlineStr">
        <is>
          <t>Unitranche pricing, European mid-market</t>
        </is>
      </c>
      <c r="B13" s="6" t="inlineStr">
        <is>
          <t>Euribor + 525 to 625bps (traditional mid-market); +500 to 600bps (upper)</t>
        </is>
      </c>
      <c r="C13" s="6" t="inlineStr">
        <is>
          <t>bps</t>
        </is>
      </c>
      <c r="D13" s="6" t="inlineStr">
        <is>
          <t>Q1-Q2 2026</t>
        </is>
      </c>
      <c r="E13" s="6" t="inlineStr">
        <is>
          <t>Valuation Research Corp Q2 2026 European update</t>
        </is>
      </c>
      <c r="F13" s="6" t="inlineStr">
        <is>
          <t>Benchmark for what 'senior' costs a sponsor-backed corporate; IPL is not that credit</t>
        </is>
      </c>
    </row>
    <row r="14">
      <c r="A14" s="6" t="inlineStr">
        <is>
          <t>Mezzanine / junior yields</t>
        </is>
      </c>
      <c r="B14" s="6" t="inlineStr">
        <is>
          <t>13% to 16% all-in; spreads 450 to 1,300bps by seniority</t>
        </is>
      </c>
      <c r="C14" s="6" t="inlineStr">
        <is>
          <t>%</t>
        </is>
      </c>
      <c r="D14" s="6" t="inlineStr">
        <is>
          <t>2026</t>
        </is>
      </c>
      <c r="E14" s="6" t="inlineStr">
        <is>
          <t>ddtalks (secondary source - verify)</t>
        </is>
      </c>
      <c r="F14" s="6" t="inlineStr">
        <is>
          <t>The €35m venture-debt tranche at 10% blended is priced below where junior capital clears for a FOAK asset</t>
        </is>
      </c>
    </row>
    <row r="15">
      <c r="A15" s="6" t="inlineStr">
        <is>
          <t>Special situations fundraising</t>
        </is>
      </c>
      <c r="B15" s="6" t="inlineStr">
        <is>
          <t>H1 2026: Alchemy, Metric Capital, Tikehau each closed €1b+ funds; European pipeline c.£100b</t>
        </is>
      </c>
      <c r="C15" s="6" t="inlineStr">
        <is>
          <t>€b</t>
        </is>
      </c>
      <c r="D15" s="6" t="inlineStr">
        <is>
          <t>H1 2026</t>
        </is>
      </c>
      <c r="E15" s="6" t="inlineStr">
        <is>
          <t>With Intelligence emerging managers 2026; Alternative Credit Investor 19-02-2026</t>
        </is>
      </c>
      <c r="F15" s="6" t="inlineStr">
        <is>
          <t>Special-sits desks have the mandate for hybrid, PIK and warrants that IPL needs</t>
        </is>
      </c>
    </row>
    <row r="16">
      <c r="A16" s="6" t="inlineStr">
        <is>
          <t>Venture / growth debt funds</t>
        </is>
      </c>
      <c r="B16" s="6" t="inlineStr">
        <is>
          <t>Claret IV €575m; Atempo II &gt;€455m; Kreos/BlackRock &gt;US$7b committed</t>
        </is>
      </c>
      <c r="C16" s="6" t="inlineStr">
        <is>
          <t>€m</t>
        </is>
      </c>
      <c r="D16" s="6" t="inlineStr">
        <is>
          <t>2025-26</t>
        </is>
      </c>
      <c r="E16" s="6" t="inlineStr">
        <is>
          <t>TNW; capitalranking.com; tulacap.com</t>
        </is>
      </c>
      <c r="F16" s="6" t="inlineStr">
        <is>
          <t>Growth-debt houses size €5m to €40m tickets but lend to VC-backed revenue businesses, not construction</t>
        </is>
      </c>
    </row>
    <row r="17">
      <c r="A17" s="6" t="inlineStr">
        <is>
          <t>Infrastructure debt, Europe</t>
        </is>
      </c>
      <c r="B17" s="6" t="inlineStr">
        <is>
          <t>Record £68b European infra debt financing in 2025; Infranity raised €3.2b (Dec 2025); Eiffel EET III €1.2b hard cap</t>
        </is>
      </c>
      <c r="C17" s="6" t="inlineStr">
        <is>
          <t>£b / €b</t>
        </is>
      </c>
      <c r="D17" s="6" t="inlineStr">
        <is>
          <t>2025</t>
        </is>
      </c>
      <c r="E17" s="6" t="inlineStr">
        <is>
          <t>Aviva Investors Jan 2026; Alternative Credit Investor 18-12-2025; Infrastructure Investor</t>
        </is>
      </c>
      <c r="F17" s="6" t="inlineStr">
        <is>
          <t>Infra-debt funds lend to contracted brownfield; FOAK construction needs the sub-IG / enhanced-return sleeves</t>
        </is>
      </c>
    </row>
    <row r="18">
      <c r="A18" s="6" t="inlineStr">
        <is>
          <t>Fund finance market</t>
        </is>
      </c>
      <c r="B18" s="6" t="inlineStr">
        <is>
          <t>&gt;US$1t; NAV 28% of new European deal volume; average facility US$285m; banks 88% of new deals</t>
        </is>
      </c>
      <c r="C18" s="6" t="inlineStr">
        <is>
          <t>US$</t>
        </is>
      </c>
      <c r="D18" s="6" t="inlineStr">
        <is>
          <t>2026</t>
        </is>
      </c>
      <c r="E18" s="6" t="inlineStr">
        <is>
          <t>Maples European Fund Finance Market Update 2026; Rede NAV 2026</t>
        </is>
      </c>
      <c r="F18" s="6" t="inlineStr">
        <is>
          <t>NAV / capital-call lines are a &gt;€50m product; Impactus' PE Fund is below every institutional lender's minimum</t>
        </is>
      </c>
    </row>
    <row r="19">
      <c r="A19" s="6" t="inlineStr">
        <is>
          <t>ELTIF 2.0</t>
        </is>
      </c>
      <c r="B19" s="6" t="inlineStr">
        <is>
          <t>127 ELTIFs, €21.3b (early 2026); 137 authorised; ~100 new expected in 2026; Solvency II charge on ELTIFs cut 39% to 22% from 1 Jan 2026</t>
        </is>
      </c>
      <c r="C19" s="6" t="inlineStr">
        <is>
          <t>€b</t>
        </is>
      </c>
      <c r="D19" s="6" t="inlineStr">
        <is>
          <t>2026</t>
        </is>
      </c>
      <c r="E19" s="6" t="inlineStr">
        <is>
          <t>Scope ELTIF Study 2026; Directive (EU) 2025/2</t>
        </is>
      </c>
      <c r="F19" s="6" t="inlineStr">
        <is>
          <t>A CySEC-authorised AIF with the ELTIF label is the only route to retail and to lower insurer capital charges</t>
        </is>
      </c>
    </row>
    <row r="20">
      <c r="A20" s="6" t="inlineStr">
        <is>
          <t>Insurers and pensions</t>
        </is>
      </c>
      <c r="B20" s="6" t="inlineStr">
        <is>
          <t>European insurers €514b private credit exposure (end-2024); insurers + pensions = c.70% of euro-area private credit fund investment (ECB FSR May 2026)</t>
        </is>
      </c>
      <c r="C20" s="6" t="inlineStr">
        <is>
          <t>€b</t>
        </is>
      </c>
      <c r="D20" s="6" t="inlineStr">
        <is>
          <t>2024-26</t>
        </is>
      </c>
      <c r="E20" s="6" t="inlineStr">
        <is>
          <t>EIOPA via beinsure; ECB Financial Stability Review May 2026</t>
        </is>
      </c>
      <c r="F20" s="6" t="inlineStr">
        <is>
          <t>These allocators buy through large managers; reach them through Argus / Cyprus provident funds, not directly</t>
        </is>
      </c>
    </row>
    <row r="21">
      <c r="A21" s="6" t="inlineStr">
        <is>
          <t>ECB deposit facility rate</t>
        </is>
      </c>
      <c r="B21" s="6" t="inlineStr">
        <is>
          <t>2.00% to 2.25% (11-06-2026) to 2.50% (10-09-2026)</t>
        </is>
      </c>
      <c r="C21" s="6" t="inlineStr">
        <is>
          <t>%</t>
        </is>
      </c>
      <c r="D21" s="6" t="inlineStr">
        <is>
          <t>Sep 2026</t>
        </is>
      </c>
      <c r="E21" s="6" t="inlineStr">
        <is>
          <t>ECB press release 11-06-2026; secondary for Sep 2026 (verify)</t>
        </is>
      </c>
      <c r="F21" s="6" t="inlineStr">
        <is>
          <t>Rates rising again; every senior term sheet quoted in H1 2026 is 25 to 50bps stale</t>
        </is>
      </c>
    </row>
    <row r="22">
      <c r="A22" s="6" t="inlineStr">
        <is>
          <t>Private credit default and PIK signals</t>
        </is>
      </c>
      <c r="B22" s="6" t="inlineStr">
        <is>
          <t>Proskauer Q2 2026 default 2.51%; Lincoln 'bad PIK' 6.4% (Q4 2025); Fitch US record 6.0% (Apr 2026)</t>
        </is>
      </c>
      <c r="C22" s="6" t="inlineStr">
        <is>
          <t>%</t>
        </is>
      </c>
      <c r="D22" s="6" t="inlineStr">
        <is>
          <t>2026</t>
        </is>
      </c>
      <c r="E22" s="6" t="inlineStr">
        <is>
          <t>Proskauer; Lincoln International; Fitch via investing.com</t>
        </is>
      </c>
      <c r="F22" s="6" t="inlineStr">
        <is>
          <t>Credit committees are tightening on PIK - the 5% PIK in the VD tranche will be read as a warning sign</t>
        </is>
      </c>
    </row>
    <row r="23">
      <c r="A23" s="6" t="inlineStr">
        <is>
          <t>AIFMD II loan-origination rules</t>
        </is>
      </c>
      <c r="B23" s="6" t="inlineStr">
        <is>
          <t>Transposition 16-04-2026; leverage caps 175% (open) / 300% (closed); 5% retention; Cyprus has not fully transposed (CySEC circulars ahead of law)</t>
        </is>
      </c>
      <c r="C23" s="6" t="inlineStr">
        <is>
          <t>rule</t>
        </is>
      </c>
      <c r="D23" s="6" t="inlineStr">
        <is>
          <t>2026</t>
        </is>
      </c>
      <c r="E23" s="6" t="inlineStr">
        <is>
          <t>Jones Day; Chambers Investment Funds 2026 Cyprus; LCK Financial Services</t>
        </is>
      </c>
      <c r="F23" s="6" t="inlineStr">
        <is>
          <t>Any note programme run through the RAIF must respect the loan-origination perimeter; RAIFs may not run loan-originating strategies</t>
        </is>
      </c>
    </row>
    <row r="24">
      <c r="A24" s="6" t="inlineStr">
        <is>
          <t>Cyprus funds sector</t>
        </is>
      </c>
      <c r="B24" s="6" t="inlineStr">
        <is>
          <t>319 entities; c.€10.6b AUM (Q2 2025); RAIFs 97 of 201 operational funds (end-2024)</t>
        </is>
      </c>
      <c r="C24" s="6" t="inlineStr">
        <is>
          <t>€b</t>
        </is>
      </c>
      <c r="D24" s="6" t="inlineStr">
        <is>
          <t>2025</t>
        </is>
      </c>
      <c r="E24" s="6" t="inlineStr">
        <is>
          <t>CIFA; CySEC bulletin; Chambers 2026</t>
        </is>
      </c>
      <c r="F24" s="6" t="inlineStr">
        <is>
          <t>Impactus is a small manager in a small market - the pitch must travel to Athens, Luxembourg and London</t>
        </is>
      </c>
    </row>
    <row r="25">
      <c r="A25" s="6" t="inlineStr">
        <is>
          <t>Greece private credit</t>
        </is>
      </c>
      <c r="B25" s="6" t="inlineStr">
        <is>
          <t>Tickets €5m to €30-50m, bank-dominated; RRF loans €17.7b (€16.7b via banks), drawdown deadline 26-08-2026; EBRD Greece mandate ended Dec 2025</t>
        </is>
      </c>
      <c r="C25" s="6" t="inlineStr">
        <is>
          <t>€</t>
        </is>
      </c>
      <c r="D25" s="6" t="inlineStr">
        <is>
          <t>2026</t>
        </is>
      </c>
      <c r="E25" s="6" t="inlineStr">
        <is>
          <t>Chambers Private Credit 2026 Greece; greece20.gov.gr; EBRD</t>
        </is>
      </c>
      <c r="F25" s="6" t="inlineStr">
        <is>
          <t>The cheap public money window (RRF, EBRD) has closed; HDB green co-financing is SME / RES scoped</t>
        </is>
      </c>
    </row>
    <row r="26">
      <c r="A26" s="6" t="inlineStr">
        <is>
          <t>EIB Group in Greece 2025</t>
        </is>
      </c>
      <c r="B26" s="6" t="inlineStr">
        <is>
          <t>Record €3.5b; venture debt €17.5m to Joltie; €950m to Alpha / NBG / Piraeus; EIF €49m guarantees</t>
        </is>
      </c>
      <c r="C26" s="6" t="inlineStr">
        <is>
          <t>€b</t>
        </is>
      </c>
      <c r="D26" s="6" t="inlineStr">
        <is>
          <t>2025</t>
        </is>
      </c>
      <c r="E26" s="6" t="inlineStr">
        <is>
          <t>EIB press release 2026-041</t>
        </is>
      </c>
      <c r="F26" s="6" t="inlineStr">
        <is>
          <t>EIB venture debt exists in Greece at the €15m to €20m scale - the Joltie precedent is the reference</t>
        </is>
      </c>
    </row>
    <row r="27">
      <c r="A27" s="6" t="inlineStr">
        <is>
          <t>German medical cannabis market</t>
        </is>
      </c>
      <c r="B27" s="6" t="inlineStr">
        <is>
          <t>Imports 201,094kg (2025) vs 72,706kg (2024); pharmacy price €8.33/g (Jan 2025) to €4.52/g (Mar 2026); GKV flower reimbursement removed 30-07-2026</t>
        </is>
      </c>
      <c r="C27" s="6" t="inlineStr">
        <is>
          <t>kg / €/g</t>
        </is>
      </c>
      <c r="D27" s="6" t="inlineStr">
        <is>
          <t>2025-26</t>
        </is>
      </c>
      <c r="E27" s="6" t="inlineStr">
        <is>
          <t>BfArM data via Business of Cannabis / Cannabis Europa; research briefing</t>
        </is>
      </c>
      <c r="F27" s="6" t="inlineStr">
        <is>
          <t>Volume up 2.8x, price down 46% - a lender underwrites the price, not the volume</t>
        </is>
      </c>
    </row>
    <row r="28">
      <c r="A28" s="6" t="inlineStr">
        <is>
          <t>Specialist cannabis lenders (US)</t>
        </is>
      </c>
      <c r="B28" s="6" t="inlineStr">
        <is>
          <t>Chicago Atlantic REFI: US$453m, 26 borrowers, 15.8% weighted YTM; AFC Gamma: US$290m, 13.2% yield, 35.7% non-accrual</t>
        </is>
      </c>
      <c r="C28" s="6" t="inlineStr">
        <is>
          <t>US$m</t>
        </is>
      </c>
      <c r="D28" s="6" t="inlineStr">
        <is>
          <t>30-06-2026</t>
        </is>
      </c>
      <c r="E28" s="6" t="inlineStr">
        <is>
          <t>REFI / AFCG 10-Q via research briefing</t>
        </is>
      </c>
      <c r="F28" s="6" t="inlineStr">
        <is>
          <t>No European loan on record for any specialist cannabis lender; pricing anchor 13% to 16%</t>
        </is>
      </c>
    </row>
  </sheetData>
  <pageMargins left="0.75" right="0.75" top="1" bottom="1" header="0.5" footer="0.5"/>
</worksheet>
</file>

<file path=xl/worksheets/sheet4.xml><?xml version="1.0" encoding="utf-8"?>
<worksheet xmlns="http://schemas.openxmlformats.org/spreadsheetml/2006/main">
  <sheetPr>
    <tabColor rgb="007F7F7F"/>
    <outlinePr summaryBelow="1" summaryRight="1"/>
    <pageSetUpPr/>
  </sheetPr>
  <dimension ref="A1:I1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26" customWidth="1" min="3" max="3"/>
    <col width="18" customWidth="1" min="4" max="4"/>
    <col width="30" customWidth="1" min="5" max="5"/>
    <col width="10" customWidth="1" min="6" max="6"/>
    <col width="10" customWidth="1" min="7" max="7"/>
    <col width="60" customWidth="1" min="8" max="8"/>
    <col width="40" customWidth="1" min="9" max="9"/>
  </cols>
  <sheetData>
    <row r="1">
      <c r="A1" s="1" t="inlineStr">
        <is>
          <t>Segment map - which part of the credit market fits which Impactus need</t>
        </is>
      </c>
    </row>
    <row r="2">
      <c r="A2" s="2" t="inlineStr">
        <is>
          <t>Fit scores 0-5 are analyst judgement (basis stated); pricing ranges are market-observed 2025-2026</t>
        </is>
      </c>
    </row>
    <row r="4" ht="30" customHeight="1">
      <c r="A4" s="5" t="inlineStr">
        <is>
          <t>Segment</t>
        </is>
      </c>
      <c r="B4" s="5" t="inlineStr">
        <is>
          <t>Europe size / activity</t>
        </is>
      </c>
      <c r="C4" s="5" t="inlineStr">
        <is>
          <t>Typical pricing</t>
        </is>
      </c>
      <c r="D4" s="5" t="inlineStr">
        <is>
          <t>Typical ticket</t>
        </is>
      </c>
      <c r="E4" s="5" t="inlineStr">
        <is>
          <t>Instruments / hold</t>
        </is>
      </c>
      <c r="F4" s="5" t="inlineStr">
        <is>
          <t>IPL fit (0-5)</t>
        </is>
      </c>
      <c r="G4" s="5" t="inlineStr">
        <is>
          <t>CPEF fit (0-5)</t>
        </is>
      </c>
      <c r="H4" s="5" t="inlineStr">
        <is>
          <t>Why / basis</t>
        </is>
      </c>
      <c r="I4" s="5" t="inlineStr">
        <is>
          <t>Representative firms</t>
        </is>
      </c>
    </row>
    <row r="5">
      <c r="A5" s="6" t="inlineStr">
        <is>
          <t>Asset-based finance (ABF) - the Cascade map universe</t>
        </is>
      </c>
      <c r="B5" s="6" t="inlineStr">
        <is>
          <t>Global ABF c.US$6.1t (2025) to c.US$9t by 2029 (Apollo); Europe: warehouse lines to originators, forward-flow, portfolio purchases, specialty-finance equity</t>
        </is>
      </c>
      <c r="C5" s="6" t="inlineStr">
        <is>
          <t>Senior warehouse E+300 to 600bps; advance rates 65% to 85%; mezz 10% to 15%</t>
        </is>
      </c>
      <c r="D5" s="6" t="inlineStr">
        <is>
          <t>€25m to €500m per facility</t>
        </is>
      </c>
      <c r="E5" s="6" t="inlineStr">
        <is>
          <t>Revolving warehouse, forward-flow, portfolio acquisition, real-asset ABL; 2 to 5 years</t>
        </is>
      </c>
      <c r="F5" s="10" t="n">
        <v>1</v>
      </c>
      <c r="G5" s="10" t="n">
        <v>2</v>
      </c>
      <c r="H5" s="6" t="inlineStr">
        <is>
          <t>ABF investors lend against granular pools with observable performance data. A single FOAK plant is not a pool. Curity could in time support a small inventory / receivables line once German distribution creates receivables - but no European ABF investor has a cannabis precedent. Only the special-situations and real-asset ABL sub-set of the map (Fortress, Davidson Kempner, Castlelake, Arrow, Pollen Street, Kartesia, Incus, Chenavari, Sixth Street, Apollo) could stretch to a single hard asset.</t>
        </is>
      </c>
      <c r="I5" s="6" t="inlineStr">
        <is>
          <t>Fortress, Davidson Kempner, Castlelake, Waterfall, Arrow Global, Pollen Street, Kartesia, Incus Capital, Chenavari, Sixth Street</t>
        </is>
      </c>
    </row>
    <row r="6">
      <c r="A6" s="6" t="inlineStr">
        <is>
          <t>Sponsor-backed direct lending (senior / unitranche)</t>
        </is>
      </c>
      <c r="B6" s="6" t="inlineStr">
        <is>
          <t>61.5% of European capital raised 9M 2025; H1 2026 volume c.€63b</t>
        </is>
      </c>
      <c r="C6" s="6" t="inlineStr">
        <is>
          <t>E+500 to 625bps unitranche; 5.0x to 6.5x EBITDA</t>
        </is>
      </c>
      <c r="D6" s="6" t="inlineStr">
        <is>
          <t>€30m to €500m</t>
        </is>
      </c>
      <c r="E6" s="6" t="inlineStr">
        <is>
          <t>Unitranche / senior term loans; 5 to 7 years; corporate borrowers with EBITDA</t>
        </is>
      </c>
      <c r="F6" s="10" t="n">
        <v>0</v>
      </c>
      <c r="G6" s="10" t="n">
        <v>1</v>
      </c>
      <c r="H6" s="6" t="inlineStr">
        <is>
          <t>Requires positive, audited EBITDA and usually a PE sponsor. IPL has no EBITDA until 2029; Curity has EBITDA below €2m today. Exclude from Wave 1.</t>
        </is>
      </c>
      <c r="I6" s="6" t="inlineStr">
        <is>
          <t>Ares, Arcmont, Hayfin, Pemberton, Tikehau, Bridgepoint Credit, Eurazeo, CVC Credit, ICG</t>
        </is>
      </c>
    </row>
    <row r="7">
      <c r="A7" s="6" t="inlineStr">
        <is>
          <t>Lower-mid-market / SME credit (Southern Europe)</t>
        </is>
      </c>
      <c r="B7" s="6" t="inlineStr">
        <is>
          <t>Kartesia KCO VI €1.3b; Capza PD 7 c.€1.4b first close; Beechbrook €2m to €25m bites; Greek AIFs (Elikonos 3 €175m)</t>
        </is>
      </c>
      <c r="C7" s="6" t="inlineStr">
        <is>
          <t>9% to 14% all-in; often with PIK and warrants</t>
        </is>
      </c>
      <c r="D7" s="6" t="inlineStr">
        <is>
          <t>€3m to €30m</t>
        </is>
      </c>
      <c r="E7" s="6" t="inlineStr">
        <is>
          <t>Senior, unitranche, hybrid; 3 to 6 years</t>
        </is>
      </c>
      <c r="F7" s="10" t="n">
        <v>2</v>
      </c>
      <c r="G7" s="10" t="n">
        <v>3</v>
      </c>
      <c r="H7" s="6" t="inlineStr">
        <is>
          <t>The only segment of the core direct-lending market that writes Impactus-sized tickets. Kartesia and Capza have Southern Europe teams; Elikonos / Halcyon are Greek and EIF-backed (state-aid sensitive on cannabis). Fit for a Curity growth facility once revenue is audited; for IPL only as holdco / sponsor-level hybrid.</t>
        </is>
      </c>
      <c r="I7" s="6" t="inlineStr">
        <is>
          <t>Kartesia, Capza, Muzinich, Beechbrook, Cordet, Elikonos, Halcyon, Waterwheel, Azimut Direct</t>
        </is>
      </c>
    </row>
    <row r="8">
      <c r="A8" s="6" t="inlineStr">
        <is>
          <t>Special situations / opportunistic credit</t>
        </is>
      </c>
      <c r="B8" s="6" t="inlineStr">
        <is>
          <t>Alchemy, Metric, Tikehau €1b+ funds closed H1 2026; UK / Europe pipeline c.£100b</t>
        </is>
      </c>
      <c r="C8" s="6" t="inlineStr">
        <is>
          <t>12% to 20% IRR targets; PIK, warrants, control rights</t>
        </is>
      </c>
      <c r="D8" s="6" t="inlineStr">
        <is>
          <t>€10m to €150m</t>
        </is>
      </c>
      <c r="E8" s="6" t="inlineStr">
        <is>
          <t>Bespoke senior / junior, PIK toggles, equity kickers; 3 to 5 years</t>
        </is>
      </c>
      <c r="F8" s="10" t="n">
        <v>4</v>
      </c>
      <c r="G8" s="10" t="n">
        <v>2</v>
      </c>
      <c r="H8" s="6" t="inlineStr">
        <is>
          <t>This is the natural home of a €35m FOAK tranche at 10% cash + PIK + warrants. The price will be higher than 10% blended (expect 14% to 18% all-in with 10% to 20% warrant coverage). Cannabis: case by case, most decline on reputational grounds.</t>
        </is>
      </c>
      <c r="I8" s="6" t="inlineStr">
        <is>
          <t>Hayfin Special Opportunities, Blantyre, Cheyne Strategic Value Credit, Davidson Kempner, Fortress, Arini, Chenavari, Incus, Fasanara, Pollen Street</t>
        </is>
      </c>
    </row>
    <row r="9">
      <c r="A9" s="6" t="inlineStr">
        <is>
          <t>Infrastructure and energy-transition debt</t>
        </is>
      </c>
      <c r="B9" s="6" t="inlineStr">
        <is>
          <t>Record £68b European infra debt 2025; Infranity €3.2b (2025); Eiffel EET III €1.2b; Rivage REDI HR3 €700m target; CIP Green Credit II €1.3b first close</t>
        </is>
      </c>
      <c r="C9" s="6" t="inlineStr">
        <is>
          <t>Senior IG-like: E+150 to 250bps; enhanced-return / sub-IG: 7% to 10%</t>
        </is>
      </c>
      <c r="D9" s="6" t="inlineStr">
        <is>
          <t>€20m to €150m</t>
        </is>
      </c>
      <c r="E9" s="6" t="inlineStr">
        <is>
          <t>Senior secured project debt, construction-plus-operations; 7 to 20 years</t>
        </is>
      </c>
      <c r="F9" s="10" t="n">
        <v>3</v>
      </c>
      <c r="G9" s="10" t="n">
        <v>0</v>
      </c>
      <c r="H9" s="6" t="inlineStr">
        <is>
          <t>Infra-debt funds want contracted cash flows, an EPC wrap and a technology with references. Thermo Lysi has the grant, an EPC under negotiation and a TRL 8-9 process, but no lender-grade offtake yet. Enhanced-return sleeves (Infranity ERDF, Rivage High Yield, Eiffel bridge vs grant receivable) are the realistic entry. No European infra-debt fund has financed a tyre-pyrolysis plant to date.</t>
        </is>
      </c>
      <c r="I9" s="6" t="inlineStr">
        <is>
          <t>Infranity (Enhanced Return), Rivage (REDI HR / European Climate Debt Solutions), Eiffel Energy Transition, Polestar Capital, Aquila, Edmond de Rothschild BRIDGE, AXA IM Alts, AllianzGI</t>
        </is>
      </c>
    </row>
    <row r="10">
      <c r="A10" s="6" t="inlineStr">
        <is>
          <t>Venture debt / growth debt</t>
        </is>
      </c>
      <c r="B10" s="6" t="inlineStr">
        <is>
          <t>Kreos/BlackRock &gt;US$7b committed, 830+ deals; Claret IV €575m; Atempo II &gt;€455m</t>
        </is>
      </c>
      <c r="C10" s="6" t="inlineStr">
        <is>
          <t>10% to 13% cash + 5% to 15% warrant coverage</t>
        </is>
      </c>
      <c r="D10" s="6" t="inlineStr">
        <is>
          <t>€5m to €40m</t>
        </is>
      </c>
      <c r="E10" s="6" t="inlineStr">
        <is>
          <t>3 to 4 year amortising term loans; VC-backed revenue companies</t>
        </is>
      </c>
      <c r="F10" s="10" t="n">
        <v>2</v>
      </c>
      <c r="G10" s="10" t="n">
        <v>3</v>
      </c>
      <c r="H10" s="6" t="inlineStr">
        <is>
          <t>Structurally the closest instrument to the VD tranche, but growth-debt lenders underwrite VC-backed recurring revenue, not construction. Kreos' Aris Constantinides (Greek) is a warm angle. For Curity, growth debt becomes available once 12 months of audited German sales exist; no cannabis exclusion located for Kreos, Claret or Atempo.</t>
        </is>
      </c>
      <c r="I10" s="6" t="inlineStr">
        <is>
          <t>Kreos Capital, Claret Capital, Atempo Growth, Columbia Lake, Bootstrap Europe, Flashpoint, Harbert</t>
        </is>
      </c>
    </row>
    <row r="11">
      <c r="A11" s="6" t="inlineStr">
        <is>
          <t>Development finance and public co-financing</t>
        </is>
      </c>
      <c r="B11" s="6" t="inlineStr">
        <is>
          <t>EIB Group Greece €3.5b (2025); EIB venture debt (Joltie €17.5m); EIF InvestEU guarantees; HDB Green Co-Financing; EU Innovation Fund IF25 (€2.9b, results Oct-Nov 2026)</t>
        </is>
      </c>
      <c r="C11" s="6" t="inlineStr">
        <is>
          <t>EIB VD: quasi-equity, cash + PIK + warrants c.8% to 12%; HDB: 40% interest-free</t>
        </is>
      </c>
      <c r="D11" s="6" t="inlineStr">
        <is>
          <t>€5m to €50m</t>
        </is>
      </c>
      <c r="E11" s="6" t="inlineStr">
        <is>
          <t>Venture debt, guarantees, co-financed bank loans</t>
        </is>
      </c>
      <c r="F11" s="10" t="n">
        <v>4</v>
      </c>
      <c r="G11" s="10" t="n">
        <v>1</v>
      </c>
      <c r="H11" s="6" t="inlineStr">
        <is>
          <t>EIB Cleantech declined in April 2026 ('mezzanine risk without equity reward') and re-engaged in September via Sirec - the reopened process is the single most valuable live thread. EBRD Greece closed for new deals Dec 2025. HDB / RRF windows closed Aug 2026. Cannabis: no formal exclusion at EIB / EBRD but no precedent.</t>
        </is>
      </c>
      <c r="I11" s="6" t="inlineStr">
        <is>
          <t>EIB Cleantech Equity &amp; Growth Capital, EIF InvestEU, HDB, HDBI, Growthfund / HCAP</t>
        </is>
      </c>
    </row>
    <row r="12">
      <c r="A12" s="6" t="inlineStr">
        <is>
          <t>Impact and climate credit funds</t>
        </is>
      </c>
      <c r="B12" s="6" t="inlineStr">
        <is>
          <t>Blue Earth climate strategy US$378m; Rivage European Climate Debt Solutions (EIF-backed); Triodos Energy Transition; Polestar (Xycle senior debt)</t>
        </is>
      </c>
      <c r="C12" s="6" t="inlineStr">
        <is>
          <t>8% to 12% senior impact debt; blended finance structures</t>
        </is>
      </c>
      <c r="D12" s="6" t="inlineStr">
        <is>
          <t>€5m to €30m</t>
        </is>
      </c>
      <c r="E12" s="6" t="inlineStr">
        <is>
          <t>Senior / mezz impact loans; 5 to 10 years</t>
        </is>
      </c>
      <c r="F12" s="10" t="n">
        <v>4</v>
      </c>
      <c r="G12" s="10" t="n">
        <v>0</v>
      </c>
      <c r="H12" s="6" t="inlineStr">
        <is>
          <t>Best mandate fit for IPL: 784,304 tCO2e avoided, EU Innovation Fund validation, STEP seal. Polestar Capital is the only European impact lender with a chemical-recycling senior loan (Xycle). Cannabis excluded by most impact mandates.</t>
        </is>
      </c>
      <c r="I12" s="6" t="inlineStr">
        <is>
          <t>Polestar Capital, Rivage ECDS, Blue Earth Capital, Triodos IM, Mirova, SUSI Partners, Climate Fund Managers</t>
        </is>
      </c>
    </row>
    <row r="13">
      <c r="A13" s="6" t="inlineStr">
        <is>
          <t>Strategic / offtaker capital</t>
        </is>
      </c>
      <c r="B13" s="6" t="inlineStr">
        <is>
          <t>BASF €16m + €25m conditional loan into Pyrum; bp €12.5m debt + 8-year offtake to Circtec; Continental 10-year rCB framework; Pirelli / BASF / Synthos tyre-to-tyre</t>
        </is>
      </c>
      <c r="C13" s="6" t="inlineStr">
        <is>
          <t>Below-market coupon in exchange for offtake / supply rights</t>
        </is>
      </c>
      <c r="D13" s="6" t="inlineStr">
        <is>
          <t>€5m to €25m</t>
        </is>
      </c>
      <c r="E13" s="6" t="inlineStr">
        <is>
          <t>Prepayment, offtaker loan, equity</t>
        </is>
      </c>
      <c r="F13" s="10" t="n">
        <v>5</v>
      </c>
      <c r="G13" s="10" t="n">
        <v>3</v>
      </c>
      <c r="H13" s="6" t="inlineStr">
        <is>
          <t>The pattern across every financed European pyrolysis project is grant + strategic equity + offtaker-linked debt, not fund debt. For IPL the highest-probability €10m to €15m is an offtaker prepayment or loan (BASF for oil, Continental / Pirelli via Pyrum for rCB, Archirodon deferred EPC payment). For Curity, ELPEN and German importers (Cantourage, Cansativa, Curaleaf International) are the equivalent.</t>
        </is>
      </c>
      <c r="I13" s="6" t="inlineStr">
        <is>
          <t>BASF, Continental, Pirelli, Pyrum, Archirodon, VTTI, Vitol; ELPEN, Cantourage, Cansativa, Curaleaf International, Galenica</t>
        </is>
      </c>
    </row>
    <row r="14">
      <c r="A14" s="6" t="inlineStr">
        <is>
          <t>Specialist cannabis credit</t>
        </is>
      </c>
      <c r="B14" s="6" t="inlineStr">
        <is>
          <t>Chicago Atlantic REFI US$453m at 15.8% YTM; AFC Gamma US$290m at 13.2%; Artemis Growth Partners Fund VII US$200m target, c.75% Europe (equity / hybrid)</t>
        </is>
      </c>
      <c r="C14" s="6" t="inlineStr">
        <is>
          <t>13% to 16% senior secured; 10% + equity kicker for European convertibles (Organigram / Sanity 2024)</t>
        </is>
      </c>
      <c r="D14" s="6" t="inlineStr">
        <is>
          <t>US$5m to US$50m</t>
        </is>
      </c>
      <c r="E14" s="6" t="inlineStr">
        <is>
          <t>Senior secured term loans, convertibles, sale-leasebacks</t>
        </is>
      </c>
      <c r="F14" s="10" t="n">
        <v>0</v>
      </c>
      <c r="G14" s="10" t="n">
        <v>4</v>
      </c>
      <c r="H14" s="6" t="inlineStr">
        <is>
          <t>No specialist lender has a documented European loan; Chicago Atlantic (co-founded by John Mazarakis, Greek-American) is the one to test. Artemis is the only fund with a stated European allocation. Expect 13% to 16% and hard-asset security.</t>
        </is>
      </c>
      <c r="I14" s="6" t="inlineStr">
        <is>
          <t>Chicago Atlantic, Advanced Flower Capital (AFC Gamma), Artemis Growth Partners, Pelorus (US only), Casa Verde (equity)</t>
        </is>
      </c>
    </row>
    <row r="15">
      <c r="A15" s="6" t="inlineStr">
        <is>
          <t>Fund finance (capital-call / NAV)</t>
        </is>
      </c>
      <c r="B15" s="6" t="inlineStr">
        <is>
          <t>&gt;US$1t market; NAV 28% of European deals; average facility US$285m; banks 88% of new deals</t>
        </is>
      </c>
      <c r="C15" s="6" t="inlineStr">
        <is>
          <t>Sub-line E+200 to 300bps; NAV E+500 to 800bps</t>
        </is>
      </c>
      <c r="D15" s="6" t="inlineStr">
        <is>
          <t>US$50m minimum for institutional lenders; €5m to €25m from Cyprus / UK boutique banks</t>
        </is>
      </c>
      <c r="E15" s="6" t="inlineStr">
        <is>
          <t>Revolving, 1 to 3 years</t>
        </is>
      </c>
      <c r="F15" s="10" t="n">
        <v>1</v>
      </c>
      <c r="G15" s="10" t="n">
        <v>0</v>
      </c>
      <c r="H15" s="6" t="inlineStr">
        <is>
          <t>Every institutional NAV lender is above Impactus' scale and every UK lender applies POCA screening to cannabis. Only Eurobank Cyprus (depositary) or Bank of Cyprus could write a small capital-call line for the PE Fund; CPEF must be excluded from any borrowing base.</t>
        </is>
      </c>
      <c r="I15" s="6" t="inlineStr">
        <is>
          <t>Eurobank Cyprus, Bank of Cyprus, HSBC Innovation Banking, Investec Fund Solutions, Hark Capital</t>
        </is>
      </c>
    </row>
    <row r="16">
      <c r="A16" s="6" t="inlineStr">
        <is>
          <t>Placement agents and capital advisors</t>
        </is>
      </c>
      <c r="B16" s="6" t="inlineStr">
        <is>
          <t>Success fees 2% to 3% for sub-US$100m funds; retainers US$25k to US$150k; bank-owned groups start at €300m+</t>
        </is>
      </c>
      <c r="C16" s="6" t="inlineStr">
        <is>
          <t>n/a</t>
        </is>
      </c>
      <c r="D16" s="6" t="inlineStr">
        <is>
          <t>n/a</t>
        </is>
      </c>
      <c r="E16" s="6" t="inlineStr">
        <is>
          <t>Advisory</t>
        </is>
      </c>
      <c r="F16" s="10" t="n">
        <v>2</v>
      </c>
      <c r="G16" s="10" t="n">
        <v>1</v>
      </c>
      <c r="H16" s="6" t="inlineStr">
        <is>
          <t>Only Threadmark, Elm, Quest, Cebile, Acanthus and the Greek / Cypriot boutiques (Axia, Ambrosia, Emergo, MeritKapital, Argus) take sub-€150m niche mandates. Every bank-owned PCA excludes cannabis by policy. Impactus already has Venero (debt), KPMG Cyprus (IVP) and Argus (distribution) - add one credit-specialist boutique for the VD tranche, on success fee only.</t>
        </is>
      </c>
      <c r="I16" s="6" t="inlineStr">
        <is>
          <t>Threadmark, Elm Capital, Quest Fund Placement, Cebile Capital, Acanthus, Axia Ventures, Ambrosia Capital, Venero (engaged), KPMG Cyprus (engaged)</t>
        </is>
      </c>
    </row>
    <row r="17">
      <c r="A17" s="6" t="inlineStr">
        <is>
          <t>Cyprus and Greek institutional / family capital</t>
        </is>
      </c>
      <c r="B17" s="6" t="inlineStr">
        <is>
          <t>Cyprus provident funds (ETYK, PEO, Cyta, EAC, PASYDY, Doctors', Lawyers', SEK); Greek TEAs (30% alternatives cap); Greek insurers (Ethniki, NN, Generali, Allianz, Interamerican, Eurolife); Growthfund c.€6b; Greek family offices (Latsis, Laskaridis, Martinos, Vardinogiannis backed Greek PE / VC vehicles)</t>
        </is>
      </c>
      <c r="C17" s="6" t="inlineStr">
        <is>
          <t>8% coupon products; equity</t>
        </is>
      </c>
      <c r="D17" s="6" t="inlineStr">
        <is>
          <t>€150k to €2m per provident fund; €0.5m to €5m family offices</t>
        </is>
      </c>
      <c r="E17" s="6" t="inlineStr">
        <is>
          <t>Fund units, notes, direct co-investment</t>
        </is>
      </c>
      <c r="F17" s="10" t="n">
        <v>3</v>
      </c>
      <c r="G17" s="10" t="n">
        <v>3</v>
      </c>
      <c r="H17" s="6" t="inlineStr">
        <is>
          <t>This is where Impactus has actually raised money (SEK, Doctors' Fund, CSE fund, AstroBank, Rodopoulos, Sirec). Scaling it means (a) a note the provident funds can hold under IORP prudent-person rules, (b) Muhanna / Argus as gateways, (c) two or three Greek family offices with VC / PE history as anchors for IVP.</t>
        </is>
      </c>
      <c r="I17" s="6" t="inlineStr">
        <is>
          <t>Argus Management, Muhanna &amp; Co, Athlos Capital, Alpha Bank Wealth (Greece), J. Safra Sarasin, KPMG Cyprus</t>
        </is>
      </c>
    </row>
  </sheetData>
  <conditionalFormatting sqref="F5:G40">
    <cfRule type="colorScale" priority="1">
      <colorScale>
        <cfvo type="num" val="0"/>
        <cfvo type="num" val="2.5"/>
        <cfvo type="num" val="5"/>
        <color rgb="00F8CBAD"/>
        <color rgb="00FFEB9C"/>
        <color rgb="00C6EFCE"/>
      </colorScale>
    </cfRule>
  </conditionalFormatting>
  <pageMargins left="0.75" right="0.75" top="1" bottom="1" header="0.5" footer="0.5"/>
</worksheet>
</file>

<file path=xl/worksheets/sheet5.xml><?xml version="1.0" encoding="utf-8"?>
<worksheet xmlns="http://schemas.openxmlformats.org/spreadsheetml/2006/main">
  <sheetPr>
    <tabColor rgb="007F7F7F"/>
    <outlinePr summaryBelow="1" summaryRight="1"/>
    <pageSetUpPr/>
  </sheetPr>
  <dimension ref="A1:W11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22" customWidth="1" min="3" max="3"/>
    <col width="40" customWidth="1" min="4" max="4"/>
    <col width="16" customWidth="1" min="5" max="5"/>
    <col width="16" customWidth="1" min="6" max="6"/>
    <col width="28" customWidth="1" min="7" max="7"/>
    <col width="40" customWidth="1" min="8" max="8"/>
    <col width="40" customWidth="1" min="9" max="9"/>
    <col width="22"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10" customWidth="1" min="18" max="18"/>
    <col width="8" customWidth="1" min="19" max="19"/>
    <col width="40" customWidth="1" min="20" max="20"/>
    <col width="26" customWidth="1" min="21" max="21"/>
    <col width="30" customWidth="1" min="22" max="22"/>
    <col width="40" customWidth="1" min="23" max="23"/>
  </cols>
  <sheetData>
    <row r="1">
      <c r="A1" s="1" t="inlineStr">
        <is>
          <t>Cascade Map 2026</t>
        </is>
      </c>
    </row>
    <row r="2">
      <c r="A2" s="2" t="inlineStr">
        <is>
          <t>The article's map transcribed: Cascade Debt 'Private ABF Investor Market Map 2026 - Region: Europe', classified by each firm's dedicated ABL/ABF and private credit strategy. Scores are analyst judgement on public evidence.</t>
        </is>
      </c>
    </row>
    <row r="4" ht="30" customHeight="1">
      <c r="A4" s="5" t="inlineStr">
        <is>
          <t>Firm</t>
        </is>
      </c>
      <c r="B4" s="5" t="inlineStr">
        <is>
          <t>Category</t>
        </is>
      </c>
      <c r="C4" s="5" t="inlineStr">
        <is>
          <t>HQ / EU office</t>
        </is>
      </c>
      <c r="D4" s="5" t="inlineStr">
        <is>
          <t>Strategy / vehicle</t>
        </is>
      </c>
      <c r="E4" s="5" t="inlineStr">
        <is>
          <t>Fund size / AUM</t>
        </is>
      </c>
      <c r="F4" s="5" t="inlineStr">
        <is>
          <t>Ticket range</t>
        </is>
      </c>
      <c r="G4" s="5" t="inlineStr">
        <is>
          <t>Instruments</t>
        </is>
      </c>
      <c r="H4" s="5" t="inlineStr">
        <is>
          <t>Greece / Cyprus / S. Europe evidence</t>
        </is>
      </c>
      <c r="I4" s="5" t="inlineStr">
        <is>
          <t>Hard-asset / FOAK evidence</t>
        </is>
      </c>
      <c r="J4" s="5" t="inlineStr">
        <is>
          <t>Cannabis stance</t>
        </is>
      </c>
      <c r="K4" s="5" t="inlineStr">
        <is>
          <t>S1 IPL fit</t>
        </is>
      </c>
      <c r="L4" s="5" t="inlineStr">
        <is>
          <t>S2 CPEF fit</t>
        </is>
      </c>
      <c r="M4" s="5" t="inlineStr">
        <is>
          <t>S3 Ticket</t>
        </is>
      </c>
      <c r="N4" s="5" t="inlineStr">
        <is>
          <t>S4 Geography</t>
        </is>
      </c>
      <c r="O4" s="5" t="inlineStr">
        <is>
          <t>S5 Risk appetite</t>
        </is>
      </c>
      <c r="P4" s="5" t="inlineStr">
        <is>
          <t>S6 Warm path</t>
        </is>
      </c>
      <c r="Q4" s="5" t="inlineStr">
        <is>
          <t>S7 Speed</t>
        </is>
      </c>
      <c r="R4" s="5" t="inlineStr">
        <is>
          <t>Weighted score</t>
        </is>
      </c>
      <c r="S4" s="5" t="inlineStr">
        <is>
          <t>Tier</t>
        </is>
      </c>
      <c r="T4" s="5" t="inlineStr">
        <is>
          <t>Best use for Impactus</t>
        </is>
      </c>
      <c r="U4" s="5" t="inlineStr">
        <is>
          <t>Recommended channel</t>
        </is>
      </c>
      <c r="V4" s="5" t="inlineStr">
        <is>
          <t>Warm path via</t>
        </is>
      </c>
      <c r="W4" s="5" t="inlineStr">
        <is>
          <t>Source URL</t>
        </is>
      </c>
    </row>
    <row r="5">
      <c r="A5" s="6" t="inlineStr">
        <is>
          <t>Octopus (Octopus Investments / Real Estate)</t>
        </is>
      </c>
      <c r="B5" s="6" t="inlineStr">
        <is>
          <t>Cascade map - AUM &lt; US$5b</t>
        </is>
      </c>
      <c r="C5" s="6" t="inlineStr">
        <is>
          <t>London</t>
        </is>
      </c>
      <c r="D5" s="6" t="inlineStr">
        <is>
          <t>Specialist lending, real estate and energy [K]</t>
        </is>
      </c>
      <c r="E5" s="6" t="inlineStr">
        <is>
          <t>n/a</t>
        </is>
      </c>
      <c r="F5" s="6" t="inlineStr">
        <is>
          <t>€5m to €50m</t>
        </is>
      </c>
      <c r="G5" s="6" t="inlineStr">
        <is>
          <t>Real-asset lending, energy</t>
        </is>
      </c>
      <c r="H5" s="6" t="inlineStr">
        <is>
          <t>UK</t>
        </is>
      </c>
      <c r="I5" s="6" t="inlineStr">
        <is>
          <t>Octopus Energy Generation invests in renewables; no pyrolysis</t>
        </is>
      </c>
      <c r="J5" s="6" t="inlineStr">
        <is>
          <t>Unknown</t>
        </is>
      </c>
      <c r="K5" s="11" t="n">
        <v>2</v>
      </c>
      <c r="L5" s="11" t="n">
        <v>0</v>
      </c>
      <c r="M5" s="11" t="n">
        <v>4</v>
      </c>
      <c r="N5" s="11" t="n">
        <v>1</v>
      </c>
      <c r="O5" s="11" t="n">
        <v>3</v>
      </c>
      <c r="P5" s="11" t="n">
        <v>1</v>
      </c>
      <c r="Q5" s="11" t="n">
        <v>3</v>
      </c>
      <c r="R5" s="12">
        <f>ROUND(SUMPRODUCT(K5:Q5,Scoring_Weights!$E$5:$K$5)/Scoring_Weights!$B$12*20,0)</f>
        <v/>
      </c>
      <c r="S5" s="13">
        <f>IF(R5&gt;=Scoring_Weights!$B$15,"Tier 1",IF(R5&gt;=Scoring_Weights!$B$16,"Tier 2","Tier 3"))</f>
        <v/>
      </c>
      <c r="T5" s="6" t="inlineStr">
        <is>
          <t>Wave 2 - energy / real-asset lending</t>
        </is>
      </c>
      <c r="U5" s="6" t="inlineStr">
        <is>
          <t>Cold</t>
        </is>
      </c>
      <c r="V5" s="6" t="inlineStr"/>
      <c r="W5" s="6" t="inlineStr">
        <is>
          <t>Cascade map</t>
        </is>
      </c>
    </row>
    <row r="6">
      <c r="A6" s="6" t="inlineStr">
        <is>
          <t>Clerville Investment Management</t>
        </is>
      </c>
      <c r="B6" s="6" t="inlineStr">
        <is>
          <t>Cascade map - AUM &lt; US$5b</t>
        </is>
      </c>
      <c r="C6" s="6" t="inlineStr">
        <is>
          <t>London</t>
        </is>
      </c>
      <c r="D6" s="6" t="inlineStr">
        <is>
          <t>Specialty finance credit [K]</t>
        </is>
      </c>
      <c r="E6" s="6" t="inlineStr">
        <is>
          <t>n/a</t>
        </is>
      </c>
      <c r="F6" s="6" t="inlineStr">
        <is>
          <t>€5m to €30m</t>
        </is>
      </c>
      <c r="G6" s="6" t="inlineStr">
        <is>
          <t>ABF</t>
        </is>
      </c>
      <c r="H6" s="6" t="inlineStr">
        <is>
          <t>UK / Europe</t>
        </is>
      </c>
      <c r="I6" s="6" t="inlineStr">
        <is>
          <t>No</t>
        </is>
      </c>
      <c r="J6" s="6" t="inlineStr">
        <is>
          <t>Unknown</t>
        </is>
      </c>
      <c r="K6" s="11" t="n">
        <v>1</v>
      </c>
      <c r="L6" s="11" t="n">
        <v>1</v>
      </c>
      <c r="M6" s="11" t="n">
        <v>4</v>
      </c>
      <c r="N6" s="11" t="n">
        <v>1</v>
      </c>
      <c r="O6" s="11" t="n">
        <v>2</v>
      </c>
      <c r="P6" s="11" t="n">
        <v>1</v>
      </c>
      <c r="Q6" s="11" t="n">
        <v>3</v>
      </c>
      <c r="R6" s="12">
        <f>ROUND(SUMPRODUCT(K6:Q6,Scoring_Weights!$E$5:$K$5)/Scoring_Weights!$B$12*20,0)</f>
        <v/>
      </c>
      <c r="S6" s="13">
        <f>IF(R6&gt;=Scoring_Weights!$B$15,"Tier 1",IF(R6&gt;=Scoring_Weights!$B$16,"Tier 2","Tier 3"))</f>
        <v/>
      </c>
      <c r="T6" s="6" t="inlineStr">
        <is>
          <t>Tier 3</t>
        </is>
      </c>
      <c r="U6" s="6" t="inlineStr">
        <is>
          <t>Cold</t>
        </is>
      </c>
      <c r="V6" s="6" t="inlineStr"/>
      <c r="W6" s="6" t="inlineStr">
        <is>
          <t>Cascade map</t>
        </is>
      </c>
    </row>
    <row r="7">
      <c r="A7" s="6" t="inlineStr">
        <is>
          <t>Invictus Capital Partners</t>
        </is>
      </c>
      <c r="B7" s="6" t="inlineStr">
        <is>
          <t>Cascade map - AUM &lt; US$5b</t>
        </is>
      </c>
      <c r="C7" s="6" t="inlineStr">
        <is>
          <t>Washington DC</t>
        </is>
      </c>
      <c r="D7" s="6" t="inlineStr">
        <is>
          <t>Residential / consumer ABF [K]</t>
        </is>
      </c>
      <c r="E7" s="6" t="inlineStr">
        <is>
          <t>n/a</t>
        </is>
      </c>
      <c r="F7" s="6" t="inlineStr">
        <is>
          <t>US$10m+</t>
        </is>
      </c>
      <c r="G7" s="6" t="inlineStr">
        <is>
          <t>ABF</t>
        </is>
      </c>
      <c r="H7" s="6" t="inlineStr">
        <is>
          <t>US</t>
        </is>
      </c>
      <c r="I7" s="6" t="inlineStr">
        <is>
          <t>No</t>
        </is>
      </c>
      <c r="J7" s="6" t="inlineStr">
        <is>
          <t>Unknown</t>
        </is>
      </c>
      <c r="K7" s="11" t="n">
        <v>0</v>
      </c>
      <c r="L7" s="11" t="n">
        <v>0</v>
      </c>
      <c r="M7" s="11" t="n">
        <v>3</v>
      </c>
      <c r="N7" s="11" t="n">
        <v>0</v>
      </c>
      <c r="O7" s="11" t="n">
        <v>2</v>
      </c>
      <c r="P7" s="11" t="n">
        <v>1</v>
      </c>
      <c r="Q7" s="11" t="n">
        <v>2</v>
      </c>
      <c r="R7" s="12">
        <f>ROUND(SUMPRODUCT(K7:Q7,Scoring_Weights!$E$5:$K$5)/Scoring_Weights!$B$12*20,0)</f>
        <v/>
      </c>
      <c r="S7" s="13">
        <f>IF(R7&gt;=Scoring_Weights!$B$15,"Tier 1",IF(R7&gt;=Scoring_Weights!$B$16,"Tier 2","Tier 3"))</f>
        <v/>
      </c>
      <c r="T7" s="6" t="inlineStr">
        <is>
          <t>Not relevant</t>
        </is>
      </c>
      <c r="U7" s="6" t="inlineStr">
        <is>
          <t>n/a</t>
        </is>
      </c>
      <c r="V7" s="6" t="inlineStr"/>
      <c r="W7" s="6" t="inlineStr">
        <is>
          <t>Cascade map</t>
        </is>
      </c>
    </row>
    <row r="8">
      <c r="A8" s="6" t="inlineStr">
        <is>
          <t>Kirkoswald Asset Management</t>
        </is>
      </c>
      <c r="B8" s="6" t="inlineStr">
        <is>
          <t>Cascade map - AUM &lt; US$5b</t>
        </is>
      </c>
      <c r="C8" s="6" t="inlineStr">
        <is>
          <t>London</t>
        </is>
      </c>
      <c r="D8" s="6" t="inlineStr">
        <is>
          <t>Macro / credit hedge fund [K]</t>
        </is>
      </c>
      <c r="E8" s="6" t="inlineStr">
        <is>
          <t>n/a</t>
        </is>
      </c>
      <c r="F8" s="6" t="inlineStr">
        <is>
          <t>n/a</t>
        </is>
      </c>
      <c r="G8" s="6" t="inlineStr">
        <is>
          <t>Credit</t>
        </is>
      </c>
      <c r="H8" s="6" t="inlineStr">
        <is>
          <t>UK</t>
        </is>
      </c>
      <c r="I8" s="6" t="inlineStr">
        <is>
          <t>No</t>
        </is>
      </c>
      <c r="J8" s="6" t="inlineStr">
        <is>
          <t>Unknown</t>
        </is>
      </c>
      <c r="K8" s="11" t="n">
        <v>0</v>
      </c>
      <c r="L8" s="11" t="n">
        <v>0</v>
      </c>
      <c r="M8" s="11" t="n">
        <v>2</v>
      </c>
      <c r="N8" s="11" t="n">
        <v>0</v>
      </c>
      <c r="O8" s="11" t="n">
        <v>2</v>
      </c>
      <c r="P8" s="11" t="n">
        <v>1</v>
      </c>
      <c r="Q8" s="11" t="n">
        <v>2</v>
      </c>
      <c r="R8" s="12">
        <f>ROUND(SUMPRODUCT(K8:Q8,Scoring_Weights!$E$5:$K$5)/Scoring_Weights!$B$12*20,0)</f>
        <v/>
      </c>
      <c r="S8" s="13">
        <f>IF(R8&gt;=Scoring_Weights!$B$15,"Tier 1",IF(R8&gt;=Scoring_Weights!$B$16,"Tier 2","Tier 3"))</f>
        <v/>
      </c>
      <c r="T8" s="6" t="inlineStr">
        <is>
          <t>Not relevant</t>
        </is>
      </c>
      <c r="U8" s="6" t="inlineStr">
        <is>
          <t>n/a</t>
        </is>
      </c>
      <c r="V8" s="6" t="inlineStr"/>
      <c r="W8" s="6" t="inlineStr">
        <is>
          <t>Cascade map</t>
        </is>
      </c>
    </row>
    <row r="9">
      <c r="A9" s="6" t="inlineStr">
        <is>
          <t>Kartesia</t>
        </is>
      </c>
      <c r="B9" s="6" t="inlineStr">
        <is>
          <t>Cascade map - AUM &lt; US$5b</t>
        </is>
      </c>
      <c r="C9" s="6" t="inlineStr">
        <is>
          <t>Luxembourg</t>
        </is>
      </c>
      <c r="D9" s="6" t="inlineStr">
        <is>
          <t>Lower-mid-market credit; KCO VI €1.3b</t>
        </is>
      </c>
      <c r="E9" s="6" t="inlineStr">
        <is>
          <t>€1.3b</t>
        </is>
      </c>
      <c r="F9" s="6" t="inlineStr">
        <is>
          <t>€10m to €60m</t>
        </is>
      </c>
      <c r="G9" s="6" t="inlineStr">
        <is>
          <t>Senior, hybrid, PIK</t>
        </is>
      </c>
      <c r="H9" s="6" t="inlineStr">
        <is>
          <t>Southern Europe team</t>
        </is>
      </c>
      <c r="I9" s="6" t="inlineStr">
        <is>
          <t>Sponsorless SMEs</t>
        </is>
      </c>
      <c r="J9" s="6" t="inlineStr">
        <is>
          <t>Unknown</t>
        </is>
      </c>
      <c r="K9" s="11" t="n">
        <v>3</v>
      </c>
      <c r="L9" s="11" t="n">
        <v>2</v>
      </c>
      <c r="M9" s="11" t="n">
        <v>4</v>
      </c>
      <c r="N9" s="11" t="n">
        <v>3</v>
      </c>
      <c r="O9" s="11" t="n">
        <v>3</v>
      </c>
      <c r="P9" s="11" t="n">
        <v>1</v>
      </c>
      <c r="Q9" s="11" t="n">
        <v>3</v>
      </c>
      <c r="R9" s="12">
        <f>ROUND(SUMPRODUCT(K9:Q9,Scoring_Weights!$E$5:$K$5)/Scoring_Weights!$B$12*20,0)</f>
        <v/>
      </c>
      <c r="S9" s="13">
        <f>IF(R9&gt;=Scoring_Weights!$B$15,"Tier 1",IF(R9&gt;=Scoring_Weights!$B$16,"Tier 2","Tier 3"))</f>
        <v/>
      </c>
      <c r="T9" s="6" t="inlineStr">
        <is>
          <t>Holdco hybrid at FID; Curity later</t>
        </is>
      </c>
      <c r="U9" s="6" t="inlineStr">
        <is>
          <t>LinkedIn first</t>
        </is>
      </c>
      <c r="V9" s="6" t="inlineStr"/>
      <c r="W9" s="6" t="inlineStr">
        <is>
          <t>kartesia.com</t>
        </is>
      </c>
    </row>
    <row r="10">
      <c r="A10" s="6" t="inlineStr">
        <is>
          <t>Highlake Capital</t>
        </is>
      </c>
      <c r="B10" s="6" t="inlineStr">
        <is>
          <t>Cascade map - AUM &lt; US$5b</t>
        </is>
      </c>
      <c r="C10" s="6" t="inlineStr">
        <is>
          <t>London</t>
        </is>
      </c>
      <c r="D10" s="6" t="inlineStr">
        <is>
          <t>Specialty finance / ABF [K]</t>
        </is>
      </c>
      <c r="E10" s="6" t="inlineStr">
        <is>
          <t>n/a</t>
        </is>
      </c>
      <c r="F10" s="6" t="inlineStr">
        <is>
          <t>€5m to €30m</t>
        </is>
      </c>
      <c r="G10" s="6" t="inlineStr">
        <is>
          <t>ABF</t>
        </is>
      </c>
      <c r="H10" s="6" t="inlineStr">
        <is>
          <t>UK / Europe</t>
        </is>
      </c>
      <c r="I10" s="6" t="inlineStr">
        <is>
          <t>No</t>
        </is>
      </c>
      <c r="J10" s="6" t="inlineStr">
        <is>
          <t>Unknown</t>
        </is>
      </c>
      <c r="K10" s="11" t="n">
        <v>1</v>
      </c>
      <c r="L10" s="11" t="n">
        <v>1</v>
      </c>
      <c r="M10" s="11" t="n">
        <v>4</v>
      </c>
      <c r="N10" s="11" t="n">
        <v>1</v>
      </c>
      <c r="O10" s="11" t="n">
        <v>2</v>
      </c>
      <c r="P10" s="11" t="n">
        <v>1</v>
      </c>
      <c r="Q10" s="11" t="n">
        <v>3</v>
      </c>
      <c r="R10" s="12">
        <f>ROUND(SUMPRODUCT(K10:Q10,Scoring_Weights!$E$5:$K$5)/Scoring_Weights!$B$12*20,0)</f>
        <v/>
      </c>
      <c r="S10" s="13">
        <f>IF(R10&gt;=Scoring_Weights!$B$15,"Tier 1",IF(R10&gt;=Scoring_Weights!$B$16,"Tier 2","Tier 3"))</f>
        <v/>
      </c>
      <c r="T10" s="6" t="inlineStr">
        <is>
          <t>Tier 3</t>
        </is>
      </c>
      <c r="U10" s="6" t="inlineStr">
        <is>
          <t>Cold</t>
        </is>
      </c>
      <c r="V10" s="6" t="inlineStr"/>
      <c r="W10" s="6" t="inlineStr">
        <is>
          <t>Cascade map</t>
        </is>
      </c>
    </row>
    <row r="11">
      <c r="A11" s="6" t="inlineStr">
        <is>
          <t>Varadero Capital</t>
        </is>
      </c>
      <c r="B11" s="6" t="inlineStr">
        <is>
          <t>Cascade map - AUM &lt; US$5b</t>
        </is>
      </c>
      <c r="C11" s="6" t="inlineStr">
        <is>
          <t>New York</t>
        </is>
      </c>
      <c r="D11" s="6" t="inlineStr">
        <is>
          <t>Structured credit / ABF</t>
        </is>
      </c>
      <c r="E11" s="6" t="inlineStr">
        <is>
          <t>n/a</t>
        </is>
      </c>
      <c r="F11" s="6" t="inlineStr">
        <is>
          <t>US$10m+</t>
        </is>
      </c>
      <c r="G11" s="6" t="inlineStr">
        <is>
          <t>ABF</t>
        </is>
      </c>
      <c r="H11" s="6" t="inlineStr">
        <is>
          <t>US</t>
        </is>
      </c>
      <c r="I11" s="6" t="inlineStr">
        <is>
          <t>No</t>
        </is>
      </c>
      <c r="J11" s="6" t="inlineStr">
        <is>
          <t>Unknown</t>
        </is>
      </c>
      <c r="K11" s="11" t="n">
        <v>0</v>
      </c>
      <c r="L11" s="11" t="n">
        <v>0</v>
      </c>
      <c r="M11" s="11" t="n">
        <v>3</v>
      </c>
      <c r="N11" s="11" t="n">
        <v>0</v>
      </c>
      <c r="O11" s="11" t="n">
        <v>2</v>
      </c>
      <c r="P11" s="11" t="n">
        <v>1</v>
      </c>
      <c r="Q11" s="11" t="n">
        <v>2</v>
      </c>
      <c r="R11" s="12">
        <f>ROUND(SUMPRODUCT(K11:Q11,Scoring_Weights!$E$5:$K$5)/Scoring_Weights!$B$12*20,0)</f>
        <v/>
      </c>
      <c r="S11" s="13">
        <f>IF(R11&gt;=Scoring_Weights!$B$15,"Tier 1",IF(R11&gt;=Scoring_Weights!$B$16,"Tier 2","Tier 3"))</f>
        <v/>
      </c>
      <c r="T11" s="6" t="inlineStr">
        <is>
          <t>Not relevant</t>
        </is>
      </c>
      <c r="U11" s="6" t="inlineStr">
        <is>
          <t>n/a</t>
        </is>
      </c>
      <c r="V11" s="6" t="inlineStr"/>
      <c r="W11" s="6" t="inlineStr">
        <is>
          <t>Cascade map</t>
        </is>
      </c>
    </row>
    <row r="12">
      <c r="A12" s="6" t="inlineStr">
        <is>
          <t>Chorus Capital</t>
        </is>
      </c>
      <c r="B12" s="6" t="inlineStr">
        <is>
          <t>Cascade map - AUM &lt; US$5b</t>
        </is>
      </c>
      <c r="C12" s="6" t="inlineStr">
        <is>
          <t>London</t>
        </is>
      </c>
      <c r="D12" s="6" t="inlineStr">
        <is>
          <t>Bank significant-risk-transfer (SRT) investor</t>
        </is>
      </c>
      <c r="E12" s="6" t="inlineStr">
        <is>
          <t>n/a</t>
        </is>
      </c>
      <c r="F12" s="6" t="inlineStr">
        <is>
          <t>€20m+</t>
        </is>
      </c>
      <c r="G12" s="6" t="inlineStr">
        <is>
          <t>SRT</t>
        </is>
      </c>
      <c r="H12" s="6" t="inlineStr">
        <is>
          <t>Europe</t>
        </is>
      </c>
      <c r="I12" s="6" t="inlineStr">
        <is>
          <t>No</t>
        </is>
      </c>
      <c r="J12" s="6" t="inlineStr">
        <is>
          <t>Unknown</t>
        </is>
      </c>
      <c r="K12" s="11" t="n">
        <v>0</v>
      </c>
      <c r="L12" s="11" t="n">
        <v>0</v>
      </c>
      <c r="M12" s="11" t="n">
        <v>2</v>
      </c>
      <c r="N12" s="11" t="n">
        <v>1</v>
      </c>
      <c r="O12" s="11" t="n">
        <v>2</v>
      </c>
      <c r="P12" s="11" t="n">
        <v>1</v>
      </c>
      <c r="Q12" s="11" t="n">
        <v>2</v>
      </c>
      <c r="R12" s="12">
        <f>ROUND(SUMPRODUCT(K12:Q12,Scoring_Weights!$E$5:$K$5)/Scoring_Weights!$B$12*20,0)</f>
        <v/>
      </c>
      <c r="S12" s="13">
        <f>IF(R12&gt;=Scoring_Weights!$B$15,"Tier 1",IF(R12&gt;=Scoring_Weights!$B$16,"Tier 2","Tier 3"))</f>
        <v/>
      </c>
      <c r="T12" s="6" t="inlineStr">
        <is>
          <t>Not relevant</t>
        </is>
      </c>
      <c r="U12" s="6" t="inlineStr">
        <is>
          <t>n/a</t>
        </is>
      </c>
      <c r="V12" s="6" t="inlineStr"/>
      <c r="W12" s="6" t="inlineStr">
        <is>
          <t>Cascade map</t>
        </is>
      </c>
    </row>
    <row r="13">
      <c r="A13" s="6" t="inlineStr">
        <is>
          <t>Serone Capital Management</t>
        </is>
      </c>
      <c r="B13" s="6" t="inlineStr">
        <is>
          <t>Cascade map - AUM &lt; US$5b</t>
        </is>
      </c>
      <c r="C13" s="6" t="inlineStr">
        <is>
          <t>London</t>
        </is>
      </c>
      <c r="D13" s="6" t="inlineStr">
        <is>
          <t>European structured / ABS credit</t>
        </is>
      </c>
      <c r="E13" s="6" t="inlineStr">
        <is>
          <t>n/a</t>
        </is>
      </c>
      <c r="F13" s="6" t="inlineStr">
        <is>
          <t>€10m+</t>
        </is>
      </c>
      <c r="G13" s="6" t="inlineStr">
        <is>
          <t>ABS</t>
        </is>
      </c>
      <c r="H13" s="6" t="inlineStr">
        <is>
          <t>Europe</t>
        </is>
      </c>
      <c r="I13" s="6" t="inlineStr">
        <is>
          <t>No</t>
        </is>
      </c>
      <c r="J13" s="6" t="inlineStr">
        <is>
          <t>Unknown</t>
        </is>
      </c>
      <c r="K13" s="11" t="n">
        <v>0</v>
      </c>
      <c r="L13" s="11" t="n">
        <v>0</v>
      </c>
      <c r="M13" s="11" t="n">
        <v>3</v>
      </c>
      <c r="N13" s="11" t="n">
        <v>1</v>
      </c>
      <c r="O13" s="11" t="n">
        <v>2</v>
      </c>
      <c r="P13" s="11" t="n">
        <v>1</v>
      </c>
      <c r="Q13" s="11" t="n">
        <v>2</v>
      </c>
      <c r="R13" s="12">
        <f>ROUND(SUMPRODUCT(K13:Q13,Scoring_Weights!$E$5:$K$5)/Scoring_Weights!$B$12*20,0)</f>
        <v/>
      </c>
      <c r="S13" s="13">
        <f>IF(R13&gt;=Scoring_Weights!$B$15,"Tier 1",IF(R13&gt;=Scoring_Weights!$B$16,"Tier 2","Tier 3"))</f>
        <v/>
      </c>
      <c r="T13" s="6" t="inlineStr">
        <is>
          <t>Not relevant</t>
        </is>
      </c>
      <c r="U13" s="6" t="inlineStr">
        <is>
          <t>n/a</t>
        </is>
      </c>
      <c r="V13" s="6" t="inlineStr"/>
      <c r="W13" s="6" t="inlineStr">
        <is>
          <t>Cascade map</t>
        </is>
      </c>
    </row>
    <row r="14">
      <c r="A14" s="6" t="inlineStr">
        <is>
          <t>SPF Investment Management</t>
        </is>
      </c>
      <c r="B14" s="6" t="inlineStr">
        <is>
          <t>Cascade map - AUM &lt; US$5b</t>
        </is>
      </c>
      <c r="C14" s="6" t="inlineStr">
        <is>
          <t>London</t>
        </is>
      </c>
      <c r="D14" s="6" t="inlineStr">
        <is>
          <t>Specialty finance credit</t>
        </is>
      </c>
      <c r="E14" s="6" t="inlineStr">
        <is>
          <t>n/a</t>
        </is>
      </c>
      <c r="F14" s="6" t="inlineStr">
        <is>
          <t>€5m to €30m</t>
        </is>
      </c>
      <c r="G14" s="6" t="inlineStr">
        <is>
          <t>ABF</t>
        </is>
      </c>
      <c r="H14" s="6" t="inlineStr">
        <is>
          <t>Europe</t>
        </is>
      </c>
      <c r="I14" s="6" t="inlineStr">
        <is>
          <t>No</t>
        </is>
      </c>
      <c r="J14" s="6" t="inlineStr">
        <is>
          <t>Unknown</t>
        </is>
      </c>
      <c r="K14" s="11" t="n">
        <v>1</v>
      </c>
      <c r="L14" s="11" t="n">
        <v>1</v>
      </c>
      <c r="M14" s="11" t="n">
        <v>4</v>
      </c>
      <c r="N14" s="11" t="n">
        <v>1</v>
      </c>
      <c r="O14" s="11" t="n">
        <v>2</v>
      </c>
      <c r="P14" s="11" t="n">
        <v>1</v>
      </c>
      <c r="Q14" s="11" t="n">
        <v>3</v>
      </c>
      <c r="R14" s="12">
        <f>ROUND(SUMPRODUCT(K14:Q14,Scoring_Weights!$E$5:$K$5)/Scoring_Weights!$B$12*20,0)</f>
        <v/>
      </c>
      <c r="S14" s="13">
        <f>IF(R14&gt;=Scoring_Weights!$B$15,"Tier 1",IF(R14&gt;=Scoring_Weights!$B$16,"Tier 2","Tier 3"))</f>
        <v/>
      </c>
      <c r="T14" s="6" t="inlineStr">
        <is>
          <t>Tier 3</t>
        </is>
      </c>
      <c r="U14" s="6" t="inlineStr">
        <is>
          <t>Cold</t>
        </is>
      </c>
      <c r="V14" s="6" t="inlineStr"/>
      <c r="W14" s="6" t="inlineStr">
        <is>
          <t>Cascade map</t>
        </is>
      </c>
    </row>
    <row r="15">
      <c r="A15" s="6" t="inlineStr">
        <is>
          <t>Viola Credit</t>
        </is>
      </c>
      <c r="B15" s="6" t="inlineStr">
        <is>
          <t>Cascade map - AUM &lt; US$5b</t>
        </is>
      </c>
      <c r="C15" s="6" t="inlineStr">
        <is>
          <t>Tel Aviv / London</t>
        </is>
      </c>
      <c r="D15" s="6" t="inlineStr">
        <is>
          <t>Venture lending and ABF to fintech / tech companies</t>
        </is>
      </c>
      <c r="E15" s="6" t="inlineStr">
        <is>
          <t>n/a</t>
        </is>
      </c>
      <c r="F15" s="6" t="inlineStr">
        <is>
          <t>US$5m to US$50m</t>
        </is>
      </c>
      <c r="G15" s="6" t="inlineStr">
        <is>
          <t>Venture debt, warehouse</t>
        </is>
      </c>
      <c r="H15" s="6" t="inlineStr">
        <is>
          <t>Israel / Europe</t>
        </is>
      </c>
      <c r="I15" s="6" t="inlineStr">
        <is>
          <t>Tech lending; Israel cannabis-tolerant ecosystem</t>
        </is>
      </c>
      <c r="J15" s="6" t="inlineStr">
        <is>
          <t>Unknown</t>
        </is>
      </c>
      <c r="K15" s="11" t="n">
        <v>1</v>
      </c>
      <c r="L15" s="11" t="n">
        <v>2</v>
      </c>
      <c r="M15" s="11" t="n">
        <v>5</v>
      </c>
      <c r="N15" s="11" t="n">
        <v>2</v>
      </c>
      <c r="O15" s="11" t="n">
        <v>3</v>
      </c>
      <c r="P15" s="11" t="n">
        <v>1</v>
      </c>
      <c r="Q15" s="11" t="n">
        <v>4</v>
      </c>
      <c r="R15" s="12">
        <f>ROUND(SUMPRODUCT(K15:Q15,Scoring_Weights!$E$5:$K$5)/Scoring_Weights!$B$12*20,0)</f>
        <v/>
      </c>
      <c r="S15" s="13">
        <f>IF(R15&gt;=Scoring_Weights!$B$15,"Tier 1",IF(R15&gt;=Scoring_Weights!$B$16,"Tier 2","Tier 3"))</f>
        <v/>
      </c>
      <c r="T15" s="6" t="inlineStr">
        <is>
          <t>Wave 2 for Curity (Israeli network, InterCure / Bennu precedent)</t>
        </is>
      </c>
      <c r="U15" s="6" t="inlineStr">
        <is>
          <t>LinkedIn first</t>
        </is>
      </c>
      <c r="V15" s="6" t="inlineStr"/>
      <c r="W15" s="6" t="inlineStr">
        <is>
          <t>Cascade map</t>
        </is>
      </c>
    </row>
    <row r="16">
      <c r="A16" s="6" t="inlineStr">
        <is>
          <t>Orchard Global</t>
        </is>
      </c>
      <c r="B16" s="6" t="inlineStr">
        <is>
          <t>Cascade map - AUM &lt; US$5b</t>
        </is>
      </c>
      <c r="C16" s="6" t="inlineStr">
        <is>
          <t>London / Singapore</t>
        </is>
      </c>
      <c r="D16" s="6" t="inlineStr">
        <is>
          <t>Structured credit, SRT, ABF</t>
        </is>
      </c>
      <c r="E16" s="6" t="inlineStr">
        <is>
          <t>n/a</t>
        </is>
      </c>
      <c r="F16" s="6" t="inlineStr">
        <is>
          <t>€20m+</t>
        </is>
      </c>
      <c r="G16" s="6" t="inlineStr">
        <is>
          <t>Structured credit</t>
        </is>
      </c>
      <c r="H16" s="6" t="inlineStr">
        <is>
          <t>Global</t>
        </is>
      </c>
      <c r="I16" s="6" t="inlineStr">
        <is>
          <t>No</t>
        </is>
      </c>
      <c r="J16" s="6" t="inlineStr">
        <is>
          <t>Unknown</t>
        </is>
      </c>
      <c r="K16" s="11" t="n">
        <v>0</v>
      </c>
      <c r="L16" s="11" t="n">
        <v>0</v>
      </c>
      <c r="M16" s="11" t="n">
        <v>3</v>
      </c>
      <c r="N16" s="11" t="n">
        <v>1</v>
      </c>
      <c r="O16" s="11" t="n">
        <v>2</v>
      </c>
      <c r="P16" s="11" t="n">
        <v>1</v>
      </c>
      <c r="Q16" s="11" t="n">
        <v>2</v>
      </c>
      <c r="R16" s="12">
        <f>ROUND(SUMPRODUCT(K16:Q16,Scoring_Weights!$E$5:$K$5)/Scoring_Weights!$B$12*20,0)</f>
        <v/>
      </c>
      <c r="S16" s="13">
        <f>IF(R16&gt;=Scoring_Weights!$B$15,"Tier 1",IF(R16&gt;=Scoring_Weights!$B$16,"Tier 2","Tier 3"))</f>
        <v/>
      </c>
      <c r="T16" s="6" t="inlineStr">
        <is>
          <t>Not relevant</t>
        </is>
      </c>
      <c r="U16" s="6" t="inlineStr">
        <is>
          <t>n/a</t>
        </is>
      </c>
      <c r="V16" s="6" t="inlineStr"/>
      <c r="W16" s="6" t="inlineStr">
        <is>
          <t>Cascade map</t>
        </is>
      </c>
    </row>
    <row r="17">
      <c r="A17" s="6" t="inlineStr">
        <is>
          <t>Apera Asset Management</t>
        </is>
      </c>
      <c r="B17" s="6" t="inlineStr">
        <is>
          <t>Cascade map - AUM &lt; US$5b</t>
        </is>
      </c>
      <c r="C17" s="6" t="inlineStr">
        <is>
          <t>London / Munich</t>
        </is>
      </c>
      <c r="D17" s="6" t="inlineStr">
        <is>
          <t>Lower-mid-market senior secured direct lending</t>
        </is>
      </c>
      <c r="E17" s="6" t="inlineStr">
        <is>
          <t>n/a</t>
        </is>
      </c>
      <c r="F17" s="6" t="inlineStr">
        <is>
          <t>€10m to €60m</t>
        </is>
      </c>
      <c r="G17" s="6" t="inlineStr">
        <is>
          <t>Senior secured</t>
        </is>
      </c>
      <c r="H17" s="6" t="inlineStr">
        <is>
          <t>DACH, UK, France, Nordics</t>
        </is>
      </c>
      <c r="I17" s="6" t="inlineStr">
        <is>
          <t>Sponsor-backed</t>
        </is>
      </c>
      <c r="J17" s="6" t="inlineStr">
        <is>
          <t>Unknown</t>
        </is>
      </c>
      <c r="K17" s="11" t="n">
        <v>1</v>
      </c>
      <c r="L17" s="11" t="n">
        <v>1</v>
      </c>
      <c r="M17" s="11" t="n">
        <v>4</v>
      </c>
      <c r="N17" s="11" t="n">
        <v>1</v>
      </c>
      <c r="O17" s="11" t="n">
        <v>2</v>
      </c>
      <c r="P17" s="11" t="n">
        <v>1</v>
      </c>
      <c r="Q17" s="11" t="n">
        <v>3</v>
      </c>
      <c r="R17" s="12">
        <f>ROUND(SUMPRODUCT(K17:Q17,Scoring_Weights!$E$5:$K$5)/Scoring_Weights!$B$12*20,0)</f>
        <v/>
      </c>
      <c r="S17" s="13">
        <f>IF(R17&gt;=Scoring_Weights!$B$15,"Tier 1",IF(R17&gt;=Scoring_Weights!$B$16,"Tier 2","Tier 3"))</f>
        <v/>
      </c>
      <c r="T17" s="6" t="inlineStr">
        <is>
          <t>Tier 3</t>
        </is>
      </c>
      <c r="U17" s="6" t="inlineStr">
        <is>
          <t>Cold</t>
        </is>
      </c>
      <c r="V17" s="6" t="inlineStr"/>
      <c r="W17" s="6" t="inlineStr">
        <is>
          <t>Cascade map</t>
        </is>
      </c>
    </row>
    <row r="18">
      <c r="A18" s="6" t="inlineStr">
        <is>
          <t>DMPM</t>
        </is>
      </c>
      <c r="B18" s="6" t="inlineStr">
        <is>
          <t>Cascade map - AUM &lt; US$5b</t>
        </is>
      </c>
      <c r="C18" s="6" t="inlineStr">
        <is>
          <t>Amsterdam</t>
        </is>
      </c>
      <c r="D18" s="6" t="inlineStr">
        <is>
          <t>Dutch mortgage portfolio management</t>
        </is>
      </c>
      <c r="E18" s="6" t="inlineStr">
        <is>
          <t>n/a</t>
        </is>
      </c>
      <c r="F18" s="6" t="inlineStr">
        <is>
          <t>n/a</t>
        </is>
      </c>
      <c r="G18" s="6" t="inlineStr">
        <is>
          <t>Mortgages</t>
        </is>
      </c>
      <c r="H18" s="6" t="inlineStr">
        <is>
          <t>NL</t>
        </is>
      </c>
      <c r="I18" s="6" t="inlineStr">
        <is>
          <t>No</t>
        </is>
      </c>
      <c r="J18" s="6" t="inlineStr">
        <is>
          <t>Unknown</t>
        </is>
      </c>
      <c r="K18" s="11" t="n">
        <v>0</v>
      </c>
      <c r="L18" s="11" t="n">
        <v>0</v>
      </c>
      <c r="M18" s="11" t="n">
        <v>1</v>
      </c>
      <c r="N18" s="11" t="n">
        <v>0</v>
      </c>
      <c r="O18" s="11" t="n">
        <v>1</v>
      </c>
      <c r="P18" s="11" t="n">
        <v>1</v>
      </c>
      <c r="Q18" s="11" t="n">
        <v>1</v>
      </c>
      <c r="R18" s="12">
        <f>ROUND(SUMPRODUCT(K18:Q18,Scoring_Weights!$E$5:$K$5)/Scoring_Weights!$B$12*20,0)</f>
        <v/>
      </c>
      <c r="S18" s="13">
        <f>IF(R18&gt;=Scoring_Weights!$B$15,"Tier 1",IF(R18&gt;=Scoring_Weights!$B$16,"Tier 2","Tier 3"))</f>
        <v/>
      </c>
      <c r="T18" s="6" t="inlineStr">
        <is>
          <t>Not relevant</t>
        </is>
      </c>
      <c r="U18" s="6" t="inlineStr">
        <is>
          <t>n/a</t>
        </is>
      </c>
      <c r="V18" s="6" t="inlineStr"/>
      <c r="W18" s="6" t="inlineStr">
        <is>
          <t>Cascade map</t>
        </is>
      </c>
    </row>
    <row r="19">
      <c r="A19" s="6" t="inlineStr">
        <is>
          <t>Hoist Finance</t>
        </is>
      </c>
      <c r="B19" s="6" t="inlineStr">
        <is>
          <t>Cascade map - AUM &lt; US$5b</t>
        </is>
      </c>
      <c r="C19" s="6" t="inlineStr">
        <is>
          <t>Stockholm</t>
        </is>
      </c>
      <c r="D19" s="6" t="inlineStr">
        <is>
          <t>NPL purchaser / servicer (listed)</t>
        </is>
      </c>
      <c r="E19" s="6" t="inlineStr">
        <is>
          <t>n/a</t>
        </is>
      </c>
      <c r="F19" s="6" t="inlineStr">
        <is>
          <t>€10m+</t>
        </is>
      </c>
      <c r="G19" s="6" t="inlineStr">
        <is>
          <t>NPL portfolios</t>
        </is>
      </c>
      <c r="H19" s="6" t="inlineStr">
        <is>
          <t>Europe incl. Southern Europe</t>
        </is>
      </c>
      <c r="I19" s="6" t="inlineStr">
        <is>
          <t>No</t>
        </is>
      </c>
      <c r="J19" s="6" t="inlineStr">
        <is>
          <t>Unknown</t>
        </is>
      </c>
      <c r="K19" s="11" t="n">
        <v>0</v>
      </c>
      <c r="L19" s="11" t="n">
        <v>0</v>
      </c>
      <c r="M19" s="11" t="n">
        <v>2</v>
      </c>
      <c r="N19" s="11" t="n">
        <v>2</v>
      </c>
      <c r="O19" s="11" t="n">
        <v>2</v>
      </c>
      <c r="P19" s="11" t="n">
        <v>1</v>
      </c>
      <c r="Q19" s="11" t="n">
        <v>2</v>
      </c>
      <c r="R19" s="12">
        <f>ROUND(SUMPRODUCT(K19:Q19,Scoring_Weights!$E$5:$K$5)/Scoring_Weights!$B$12*20,0)</f>
        <v/>
      </c>
      <c r="S19" s="13">
        <f>IF(R19&gt;=Scoring_Weights!$B$15,"Tier 1",IF(R19&gt;=Scoring_Weights!$B$16,"Tier 2","Tier 3"))</f>
        <v/>
      </c>
      <c r="T19" s="6" t="inlineStr">
        <is>
          <t>Not relevant</t>
        </is>
      </c>
      <c r="U19" s="6" t="inlineStr">
        <is>
          <t>n/a</t>
        </is>
      </c>
      <c r="V19" s="6" t="inlineStr"/>
      <c r="W19" s="6" t="inlineStr">
        <is>
          <t>Cascade map</t>
        </is>
      </c>
    </row>
    <row r="20">
      <c r="A20" s="6" t="inlineStr">
        <is>
          <t>i80 Group</t>
        </is>
      </c>
      <c r="B20" s="6" t="inlineStr">
        <is>
          <t>Cascade map - AUM &lt; US$5b</t>
        </is>
      </c>
      <c r="C20" s="6" t="inlineStr">
        <is>
          <t>New York</t>
        </is>
      </c>
      <c r="D20" s="6" t="inlineStr">
        <is>
          <t>Credit to fintech / proptech originators</t>
        </is>
      </c>
      <c r="E20" s="6" t="inlineStr">
        <is>
          <t>n/a</t>
        </is>
      </c>
      <c r="F20" s="6" t="inlineStr">
        <is>
          <t>US$10m+</t>
        </is>
      </c>
      <c r="G20" s="6" t="inlineStr">
        <is>
          <t>Warehouse</t>
        </is>
      </c>
      <c r="H20" s="6" t="inlineStr">
        <is>
          <t>US / Europe</t>
        </is>
      </c>
      <c r="I20" s="6" t="inlineStr">
        <is>
          <t>No</t>
        </is>
      </c>
      <c r="J20" s="6" t="inlineStr">
        <is>
          <t>Unknown</t>
        </is>
      </c>
      <c r="K20" s="11" t="n">
        <v>0</v>
      </c>
      <c r="L20" s="11" t="n">
        <v>1</v>
      </c>
      <c r="M20" s="11" t="n">
        <v>3</v>
      </c>
      <c r="N20" s="11" t="n">
        <v>0</v>
      </c>
      <c r="O20" s="11" t="n">
        <v>2</v>
      </c>
      <c r="P20" s="11" t="n">
        <v>1</v>
      </c>
      <c r="Q20" s="11" t="n">
        <v>3</v>
      </c>
      <c r="R20" s="12">
        <f>ROUND(SUMPRODUCT(K20:Q20,Scoring_Weights!$E$5:$K$5)/Scoring_Weights!$B$12*20,0)</f>
        <v/>
      </c>
      <c r="S20" s="13">
        <f>IF(R20&gt;=Scoring_Weights!$B$15,"Tier 1",IF(R20&gt;=Scoring_Weights!$B$16,"Tier 2","Tier 3"))</f>
        <v/>
      </c>
      <c r="T20" s="6" t="inlineStr">
        <is>
          <t>Not relevant</t>
        </is>
      </c>
      <c r="U20" s="6" t="inlineStr">
        <is>
          <t>n/a</t>
        </is>
      </c>
      <c r="V20" s="6" t="inlineStr"/>
      <c r="W20" s="6" t="inlineStr">
        <is>
          <t>Cascade map</t>
        </is>
      </c>
    </row>
    <row r="21">
      <c r="A21" s="6" t="inlineStr">
        <is>
          <t>Fair Oaks Capital</t>
        </is>
      </c>
      <c r="B21" s="6" t="inlineStr">
        <is>
          <t>Cascade map - AUM &lt; US$5b</t>
        </is>
      </c>
      <c r="C21" s="6" t="inlineStr">
        <is>
          <t>London</t>
        </is>
      </c>
      <c r="D21" s="6" t="inlineStr">
        <is>
          <t>CLO and structured credit</t>
        </is>
      </c>
      <c r="E21" s="6" t="inlineStr">
        <is>
          <t>n/a</t>
        </is>
      </c>
      <c r="F21" s="6" t="inlineStr">
        <is>
          <t>n/a</t>
        </is>
      </c>
      <c r="G21" s="6" t="inlineStr">
        <is>
          <t>CLO</t>
        </is>
      </c>
      <c r="H21" s="6" t="inlineStr">
        <is>
          <t>Europe</t>
        </is>
      </c>
      <c r="I21" s="6" t="inlineStr">
        <is>
          <t>No</t>
        </is>
      </c>
      <c r="J21" s="6" t="inlineStr">
        <is>
          <t>Unknown</t>
        </is>
      </c>
      <c r="K21" s="11" t="n">
        <v>0</v>
      </c>
      <c r="L21" s="11" t="n">
        <v>0</v>
      </c>
      <c r="M21" s="11" t="n">
        <v>2</v>
      </c>
      <c r="N21" s="11" t="n">
        <v>1</v>
      </c>
      <c r="O21" s="11" t="n">
        <v>2</v>
      </c>
      <c r="P21" s="11" t="n">
        <v>1</v>
      </c>
      <c r="Q21" s="11" t="n">
        <v>2</v>
      </c>
      <c r="R21" s="12">
        <f>ROUND(SUMPRODUCT(K21:Q21,Scoring_Weights!$E$5:$K$5)/Scoring_Weights!$B$12*20,0)</f>
        <v/>
      </c>
      <c r="S21" s="13">
        <f>IF(R21&gt;=Scoring_Weights!$B$15,"Tier 1",IF(R21&gt;=Scoring_Weights!$B$16,"Tier 2","Tier 3"))</f>
        <v/>
      </c>
      <c r="T21" s="6" t="inlineStr">
        <is>
          <t>Not relevant</t>
        </is>
      </c>
      <c r="U21" s="6" t="inlineStr">
        <is>
          <t>n/a</t>
        </is>
      </c>
      <c r="V21" s="6" t="inlineStr"/>
      <c r="W21" s="6" t="inlineStr">
        <is>
          <t>Cascade map</t>
        </is>
      </c>
    </row>
    <row r="22">
      <c r="A22" s="6" t="inlineStr">
        <is>
          <t>Incus Capital</t>
        </is>
      </c>
      <c r="B22" s="6" t="inlineStr">
        <is>
          <t>Cascade map - AUM &lt; US$5b</t>
        </is>
      </c>
      <c r="C22" s="6" t="inlineStr">
        <is>
          <t>Madrid / Lisbon</t>
        </is>
      </c>
      <c r="D22" s="6" t="inlineStr">
        <is>
          <t>Iberian real-asset and corporate special situations</t>
        </is>
      </c>
      <c r="E22" s="6" t="inlineStr">
        <is>
          <t>n/a</t>
        </is>
      </c>
      <c r="F22" s="6" t="inlineStr">
        <is>
          <t>€10m to €50m</t>
        </is>
      </c>
      <c r="G22" s="6" t="inlineStr">
        <is>
          <t>Asset-backed senior / mezz</t>
        </is>
      </c>
      <c r="H22" s="6" t="inlineStr">
        <is>
          <t>Iberia</t>
        </is>
      </c>
      <c r="I22" s="6" t="inlineStr">
        <is>
          <t>Real assets incl. renewables</t>
        </is>
      </c>
      <c r="J22" s="6" t="inlineStr">
        <is>
          <t>Unknown</t>
        </is>
      </c>
      <c r="K22" s="11" t="n">
        <v>3</v>
      </c>
      <c r="L22" s="11" t="n">
        <v>1</v>
      </c>
      <c r="M22" s="11" t="n">
        <v>5</v>
      </c>
      <c r="N22" s="11" t="n">
        <v>3</v>
      </c>
      <c r="O22" s="11" t="n">
        <v>4</v>
      </c>
      <c r="P22" s="11" t="n">
        <v>1</v>
      </c>
      <c r="Q22" s="11" t="n">
        <v>3</v>
      </c>
      <c r="R22" s="12">
        <f>ROUND(SUMPRODUCT(K22:Q22,Scoring_Weights!$E$5:$K$5)/Scoring_Weights!$B$12*20,0)</f>
        <v/>
      </c>
      <c r="S22" s="13">
        <f>IF(R22&gt;=Scoring_Weights!$B$15,"Tier 1",IF(R22&gt;=Scoring_Weights!$B$16,"Tier 2","Tier 3"))</f>
        <v/>
      </c>
      <c r="T22" s="6" t="inlineStr">
        <is>
          <t>Wave 1 - special-sits tranche</t>
        </is>
      </c>
      <c r="U22" s="6" t="inlineStr">
        <is>
          <t>LinkedIn first</t>
        </is>
      </c>
      <c r="V22" s="6" t="inlineStr"/>
      <c r="W22" s="6" t="inlineStr">
        <is>
          <t>Cascade map</t>
        </is>
      </c>
    </row>
    <row r="23">
      <c r="A23" s="6" t="inlineStr">
        <is>
          <t>Chenavari Investment Managers</t>
        </is>
      </c>
      <c r="B23" s="6" t="inlineStr">
        <is>
          <t>Cascade map - AUM &lt; US$5b</t>
        </is>
      </c>
      <c r="C23" s="6" t="inlineStr">
        <is>
          <t>London</t>
        </is>
      </c>
      <c r="D23" s="6" t="inlineStr">
        <is>
          <t>Specialty credit, ABL, structured</t>
        </is>
      </c>
      <c r="E23" s="6" t="inlineStr">
        <is>
          <t>n/a</t>
        </is>
      </c>
      <c r="F23" s="6" t="inlineStr">
        <is>
          <t>€10m to €60m</t>
        </is>
      </c>
      <c r="G23" s="6" t="inlineStr">
        <is>
          <t>ABL</t>
        </is>
      </c>
      <c r="H23" s="6" t="inlineStr">
        <is>
          <t>Europe</t>
        </is>
      </c>
      <c r="I23" s="6" t="inlineStr">
        <is>
          <t>Asset-backed</t>
        </is>
      </c>
      <c r="J23" s="6" t="inlineStr">
        <is>
          <t>Unknown</t>
        </is>
      </c>
      <c r="K23" s="11" t="n">
        <v>2</v>
      </c>
      <c r="L23" s="11" t="n">
        <v>1</v>
      </c>
      <c r="M23" s="11" t="n">
        <v>4</v>
      </c>
      <c r="N23" s="11" t="n">
        <v>2</v>
      </c>
      <c r="O23" s="11" t="n">
        <v>3</v>
      </c>
      <c r="P23" s="11" t="n">
        <v>1</v>
      </c>
      <c r="Q23" s="11" t="n">
        <v>3</v>
      </c>
      <c r="R23" s="12">
        <f>ROUND(SUMPRODUCT(K23:Q23,Scoring_Weights!$E$5:$K$5)/Scoring_Weights!$B$12*20,0)</f>
        <v/>
      </c>
      <c r="S23" s="13">
        <f>IF(R23&gt;=Scoring_Weights!$B$15,"Tier 1",IF(R23&gt;=Scoring_Weights!$B$16,"Tier 2","Tier 3"))</f>
        <v/>
      </c>
      <c r="T23" s="6" t="inlineStr">
        <is>
          <t>Wave 2</t>
        </is>
      </c>
      <c r="U23" s="6" t="inlineStr">
        <is>
          <t>Cold</t>
        </is>
      </c>
      <c r="V23" s="6" t="inlineStr"/>
      <c r="W23" s="6" t="inlineStr">
        <is>
          <t>Cascade map</t>
        </is>
      </c>
    </row>
    <row r="24">
      <c r="A24" s="6" t="inlineStr">
        <is>
          <t>Spire Partners</t>
        </is>
      </c>
      <c r="B24" s="6" t="inlineStr">
        <is>
          <t>Cascade map - AUM &lt; US$5b</t>
        </is>
      </c>
      <c r="C24" s="6" t="inlineStr">
        <is>
          <t>London</t>
        </is>
      </c>
      <c r="D24" s="6" t="inlineStr">
        <is>
          <t>CLO manager</t>
        </is>
      </c>
      <c r="E24" s="6" t="inlineStr">
        <is>
          <t>n/a</t>
        </is>
      </c>
      <c r="F24" s="6" t="inlineStr">
        <is>
          <t>n/a</t>
        </is>
      </c>
      <c r="G24" s="6" t="inlineStr">
        <is>
          <t>CLO</t>
        </is>
      </c>
      <c r="H24" s="6" t="inlineStr">
        <is>
          <t>Europe</t>
        </is>
      </c>
      <c r="I24" s="6" t="inlineStr">
        <is>
          <t>No</t>
        </is>
      </c>
      <c r="J24" s="6" t="inlineStr">
        <is>
          <t>Unknown</t>
        </is>
      </c>
      <c r="K24" s="11" t="n">
        <v>0</v>
      </c>
      <c r="L24" s="11" t="n">
        <v>0</v>
      </c>
      <c r="M24" s="11" t="n">
        <v>1</v>
      </c>
      <c r="N24" s="11" t="n">
        <v>1</v>
      </c>
      <c r="O24" s="11" t="n">
        <v>1</v>
      </c>
      <c r="P24" s="11" t="n">
        <v>1</v>
      </c>
      <c r="Q24" s="11" t="n">
        <v>1</v>
      </c>
      <c r="R24" s="12">
        <f>ROUND(SUMPRODUCT(K24:Q24,Scoring_Weights!$E$5:$K$5)/Scoring_Weights!$B$12*20,0)</f>
        <v/>
      </c>
      <c r="S24" s="13">
        <f>IF(R24&gt;=Scoring_Weights!$B$15,"Tier 1",IF(R24&gt;=Scoring_Weights!$B$16,"Tier 2","Tier 3"))</f>
        <v/>
      </c>
      <c r="T24" s="6" t="inlineStr">
        <is>
          <t>Not relevant</t>
        </is>
      </c>
      <c r="U24" s="6" t="inlineStr">
        <is>
          <t>n/a</t>
        </is>
      </c>
      <c r="V24" s="6" t="inlineStr"/>
      <c r="W24" s="6" t="inlineStr">
        <is>
          <t>Cascade map</t>
        </is>
      </c>
    </row>
    <row r="25">
      <c r="A25" s="6" t="inlineStr">
        <is>
          <t>NorthWall Capital</t>
        </is>
      </c>
      <c r="B25" s="6" t="inlineStr">
        <is>
          <t>Cascade map - AUM &lt; US$5b</t>
        </is>
      </c>
      <c r="C25" s="6" t="inlineStr">
        <is>
          <t>London</t>
        </is>
      </c>
      <c r="D25" s="6" t="inlineStr">
        <is>
          <t>Opportunistic credit, asset-backed, legal assets</t>
        </is>
      </c>
      <c r="E25" s="6" t="inlineStr">
        <is>
          <t>n/a</t>
        </is>
      </c>
      <c r="F25" s="6" t="inlineStr">
        <is>
          <t>€10m to €50m</t>
        </is>
      </c>
      <c r="G25" s="6" t="inlineStr">
        <is>
          <t>Opportunistic / ABL</t>
        </is>
      </c>
      <c r="H25" s="6" t="inlineStr">
        <is>
          <t>Europe</t>
        </is>
      </c>
      <c r="I25" s="6" t="inlineStr">
        <is>
          <t>Asset-backed</t>
        </is>
      </c>
      <c r="J25" s="6" t="inlineStr">
        <is>
          <t>Unknown</t>
        </is>
      </c>
      <c r="K25" s="11" t="n">
        <v>2</v>
      </c>
      <c r="L25" s="11" t="n">
        <v>1</v>
      </c>
      <c r="M25" s="11" t="n">
        <v>4</v>
      </c>
      <c r="N25" s="11" t="n">
        <v>2</v>
      </c>
      <c r="O25" s="11" t="n">
        <v>4</v>
      </c>
      <c r="P25" s="11" t="n">
        <v>1</v>
      </c>
      <c r="Q25" s="11" t="n">
        <v>3</v>
      </c>
      <c r="R25" s="12">
        <f>ROUND(SUMPRODUCT(K25:Q25,Scoring_Weights!$E$5:$K$5)/Scoring_Weights!$B$12*20,0)</f>
        <v/>
      </c>
      <c r="S25" s="13">
        <f>IF(R25&gt;=Scoring_Weights!$B$15,"Tier 1",IF(R25&gt;=Scoring_Weights!$B$16,"Tier 2","Tier 3"))</f>
        <v/>
      </c>
      <c r="T25" s="6" t="inlineStr">
        <is>
          <t>Wave 2 - opportunistic credit</t>
        </is>
      </c>
      <c r="U25" s="6" t="inlineStr">
        <is>
          <t>LinkedIn first</t>
        </is>
      </c>
      <c r="V25" s="6" t="inlineStr"/>
      <c r="W25" s="6" t="inlineStr">
        <is>
          <t>Cascade map</t>
        </is>
      </c>
    </row>
    <row r="26">
      <c r="A26" s="6" t="inlineStr">
        <is>
          <t>Azimut Direct</t>
        </is>
      </c>
      <c r="B26" s="6" t="inlineStr">
        <is>
          <t>Cascade map - AUM &lt; US$5b</t>
        </is>
      </c>
      <c r="C26" s="6" t="inlineStr">
        <is>
          <t>Milan</t>
        </is>
      </c>
      <c r="D26" s="6" t="inlineStr">
        <is>
          <t>Italian SME private debt platform</t>
        </is>
      </c>
      <c r="E26" s="6" t="inlineStr">
        <is>
          <t>n/a</t>
        </is>
      </c>
      <c r="F26" s="6" t="inlineStr">
        <is>
          <t>€2m to €20m</t>
        </is>
      </c>
      <c r="G26" s="6" t="inlineStr">
        <is>
          <t>SME loans / minibonds</t>
        </is>
      </c>
      <c r="H26" s="6" t="inlineStr">
        <is>
          <t>Italy</t>
        </is>
      </c>
      <c r="I26" s="6" t="inlineStr">
        <is>
          <t>No</t>
        </is>
      </c>
      <c r="J26" s="6" t="inlineStr">
        <is>
          <t>Unknown</t>
        </is>
      </c>
      <c r="K26" s="11" t="n">
        <v>1</v>
      </c>
      <c r="L26" s="11" t="n">
        <v>1</v>
      </c>
      <c r="M26" s="11" t="n">
        <v>5</v>
      </c>
      <c r="N26" s="11" t="n">
        <v>2</v>
      </c>
      <c r="O26" s="11" t="n">
        <v>2</v>
      </c>
      <c r="P26" s="11" t="n">
        <v>1</v>
      </c>
      <c r="Q26" s="11" t="n">
        <v>4</v>
      </c>
      <c r="R26" s="12">
        <f>ROUND(SUMPRODUCT(K26:Q26,Scoring_Weights!$E$5:$K$5)/Scoring_Weights!$B$12*20,0)</f>
        <v/>
      </c>
      <c r="S26" s="13">
        <f>IF(R26&gt;=Scoring_Weights!$B$15,"Tier 1",IF(R26&gt;=Scoring_Weights!$B$16,"Tier 2","Tier 3"))</f>
        <v/>
      </c>
      <c r="T26" s="6" t="inlineStr">
        <is>
          <t>Tier 3 (Italy only)</t>
        </is>
      </c>
      <c r="U26" s="6" t="inlineStr">
        <is>
          <t>Cold</t>
        </is>
      </c>
      <c r="V26" s="6" t="inlineStr"/>
      <c r="W26" s="6" t="inlineStr">
        <is>
          <t>Cascade map</t>
        </is>
      </c>
    </row>
    <row r="27">
      <c r="A27" s="6" t="inlineStr">
        <is>
          <t>Boussard &amp; Gavaudan</t>
        </is>
      </c>
      <c r="B27" s="6" t="inlineStr">
        <is>
          <t>Cascade map - AUM &lt; US$5b</t>
        </is>
      </c>
      <c r="C27" s="6" t="inlineStr">
        <is>
          <t>Paris / London</t>
        </is>
      </c>
      <c r="D27" s="6" t="inlineStr">
        <is>
          <t>Multi-strategy incl. credit</t>
        </is>
      </c>
      <c r="E27" s="6" t="inlineStr">
        <is>
          <t>n/a</t>
        </is>
      </c>
      <c r="F27" s="6" t="inlineStr">
        <is>
          <t>€10m+</t>
        </is>
      </c>
      <c r="G27" s="6" t="inlineStr">
        <is>
          <t>Credit</t>
        </is>
      </c>
      <c r="H27" s="6" t="inlineStr">
        <is>
          <t>Europe</t>
        </is>
      </c>
      <c r="I27" s="6" t="inlineStr">
        <is>
          <t>No</t>
        </is>
      </c>
      <c r="J27" s="6" t="inlineStr">
        <is>
          <t>Unknown</t>
        </is>
      </c>
      <c r="K27" s="11" t="n">
        <v>1</v>
      </c>
      <c r="L27" s="11" t="n">
        <v>0</v>
      </c>
      <c r="M27" s="11" t="n">
        <v>3</v>
      </c>
      <c r="N27" s="11" t="n">
        <v>1</v>
      </c>
      <c r="O27" s="11" t="n">
        <v>3</v>
      </c>
      <c r="P27" s="11" t="n">
        <v>1</v>
      </c>
      <c r="Q27" s="11" t="n">
        <v>2</v>
      </c>
      <c r="R27" s="12">
        <f>ROUND(SUMPRODUCT(K27:Q27,Scoring_Weights!$E$5:$K$5)/Scoring_Weights!$B$12*20,0)</f>
        <v/>
      </c>
      <c r="S27" s="13">
        <f>IF(R27&gt;=Scoring_Weights!$B$15,"Tier 1",IF(R27&gt;=Scoring_Weights!$B$16,"Tier 2","Tier 3"))</f>
        <v/>
      </c>
      <c r="T27" s="6" t="inlineStr">
        <is>
          <t>Tier 3</t>
        </is>
      </c>
      <c r="U27" s="6" t="inlineStr">
        <is>
          <t>Cold</t>
        </is>
      </c>
      <c r="V27" s="6" t="inlineStr"/>
      <c r="W27" s="6" t="inlineStr">
        <is>
          <t>Cascade map</t>
        </is>
      </c>
    </row>
    <row r="28">
      <c r="A28" s="6" t="inlineStr">
        <is>
          <t>Quilam Capital</t>
        </is>
      </c>
      <c r="B28" s="6" t="inlineStr">
        <is>
          <t>Cascade map - AUM &lt; US$5b</t>
        </is>
      </c>
      <c r="C28" s="6" t="inlineStr">
        <is>
          <t>London</t>
        </is>
      </c>
      <c r="D28" s="6" t="inlineStr">
        <is>
          <t>Credit to specialty-finance lenders</t>
        </is>
      </c>
      <c r="E28" s="6" t="inlineStr">
        <is>
          <t>n/a</t>
        </is>
      </c>
      <c r="F28" s="6" t="inlineStr">
        <is>
          <t>£5m to £50m</t>
        </is>
      </c>
      <c r="G28" s="6" t="inlineStr">
        <is>
          <t>Warehouse / mezz to lenders</t>
        </is>
      </c>
      <c r="H28" s="6" t="inlineStr">
        <is>
          <t>UK</t>
        </is>
      </c>
      <c r="I28" s="6" t="inlineStr">
        <is>
          <t>No</t>
        </is>
      </c>
      <c r="J28" s="6" t="inlineStr">
        <is>
          <t>Unknown</t>
        </is>
      </c>
      <c r="K28" s="11" t="n">
        <v>0</v>
      </c>
      <c r="L28" s="11" t="n">
        <v>1</v>
      </c>
      <c r="M28" s="11" t="n">
        <v>4</v>
      </c>
      <c r="N28" s="11" t="n">
        <v>1</v>
      </c>
      <c r="O28" s="11" t="n">
        <v>3</v>
      </c>
      <c r="P28" s="11" t="n">
        <v>1</v>
      </c>
      <c r="Q28" s="11" t="n">
        <v>3</v>
      </c>
      <c r="R28" s="12">
        <f>ROUND(SUMPRODUCT(K28:Q28,Scoring_Weights!$E$5:$K$5)/Scoring_Weights!$B$12*20,0)</f>
        <v/>
      </c>
      <c r="S28" s="13">
        <f>IF(R28&gt;=Scoring_Weights!$B$15,"Tier 1",IF(R28&gt;=Scoring_Weights!$B$16,"Tier 2","Tier 3"))</f>
        <v/>
      </c>
      <c r="T28" s="6" t="inlineStr">
        <is>
          <t>Not relevant</t>
        </is>
      </c>
      <c r="U28" s="6" t="inlineStr">
        <is>
          <t>n/a</t>
        </is>
      </c>
      <c r="V28" s="6" t="inlineStr"/>
      <c r="W28" s="6" t="inlineStr">
        <is>
          <t>Cascade map</t>
        </is>
      </c>
    </row>
    <row r="29">
      <c r="A29" s="6" t="inlineStr">
        <is>
          <t>Alantra (Private Debt / asset-based)</t>
        </is>
      </c>
      <c r="B29" s="6" t="inlineStr">
        <is>
          <t>Cascade map - AUM &lt; US$5b</t>
        </is>
      </c>
      <c r="C29" s="6" t="inlineStr">
        <is>
          <t>Madrid; Athens office</t>
        </is>
      </c>
      <c r="D29" s="6" t="inlineStr">
        <is>
          <t>Mid-market advisory and private debt; Athens presence</t>
        </is>
      </c>
      <c r="E29" s="6" t="inlineStr">
        <is>
          <t>n/a</t>
        </is>
      </c>
      <c r="F29" s="6" t="inlineStr">
        <is>
          <t>€5m to €30m</t>
        </is>
      </c>
      <c r="G29" s="6" t="inlineStr">
        <is>
          <t>Private debt; advisory</t>
        </is>
      </c>
      <c r="H29" s="6" t="inlineStr">
        <is>
          <t>Iberia; Greece (advisory)</t>
        </is>
      </c>
      <c r="I29" s="6" t="inlineStr">
        <is>
          <t>No pyrolysis</t>
        </is>
      </c>
      <c r="J29" s="6" t="inlineStr">
        <is>
          <t>Unknown</t>
        </is>
      </c>
      <c r="K29" s="11" t="n">
        <v>2</v>
      </c>
      <c r="L29" s="11" t="n">
        <v>1</v>
      </c>
      <c r="M29" s="11" t="n">
        <v>5</v>
      </c>
      <c r="N29" s="11" t="n">
        <v>4</v>
      </c>
      <c r="O29" s="11" t="n">
        <v>2</v>
      </c>
      <c r="P29" s="11" t="n">
        <v>1</v>
      </c>
      <c r="Q29" s="11" t="n">
        <v>3</v>
      </c>
      <c r="R29" s="12">
        <f>ROUND(SUMPRODUCT(K29:Q29,Scoring_Weights!$E$5:$K$5)/Scoring_Weights!$B$12*20,0)</f>
        <v/>
      </c>
      <c r="S29" s="13">
        <f>IF(R29&gt;=Scoring_Weights!$B$15,"Tier 1",IF(R29&gt;=Scoring_Weights!$B$16,"Tier 2","Tier 3"))</f>
        <v/>
      </c>
      <c r="T29" s="6" t="inlineStr">
        <is>
          <t>Wave 2 - Athens office as adviser / lender</t>
        </is>
      </c>
      <c r="U29" s="6" t="inlineStr">
        <is>
          <t>LinkedIn first</t>
        </is>
      </c>
      <c r="V29" s="6" t="inlineStr"/>
      <c r="W29" s="6" t="inlineStr">
        <is>
          <t>Cascade map</t>
        </is>
      </c>
    </row>
    <row r="30">
      <c r="A30" s="6" t="inlineStr">
        <is>
          <t>Unidentified logo 1 (fan / wave mark) - candidate: Fasanara Capital</t>
        </is>
      </c>
      <c r="B30" s="6" t="inlineStr">
        <is>
          <t>Cascade map - AUM &lt; US$5b</t>
        </is>
      </c>
      <c r="C30" s="6" t="inlineStr">
        <is>
          <t>London (if Fasanara)</t>
        </is>
      </c>
      <c r="D30" s="6" t="inlineStr">
        <is>
          <t>Not legible on the map image; Fasanara (fintech / receivables ABF) is the most prominent European ABF name absent from the legible list</t>
        </is>
      </c>
      <c r="E30" s="6" t="inlineStr">
        <is>
          <t>n/a</t>
        </is>
      </c>
      <c r="F30" s="6" t="inlineStr">
        <is>
          <t>n/a</t>
        </is>
      </c>
      <c r="G30" s="6" t="inlineStr">
        <is>
          <t>n/a</t>
        </is>
      </c>
      <c r="H30" s="6" t="inlineStr">
        <is>
          <t>n/a</t>
        </is>
      </c>
      <c r="I30" s="6" t="inlineStr">
        <is>
          <t>n/a</t>
        </is>
      </c>
      <c r="J30" s="6" t="inlineStr">
        <is>
          <t>n/a</t>
        </is>
      </c>
      <c r="K30" s="11" t="n">
        <v>0</v>
      </c>
      <c r="L30" s="11" t="n">
        <v>0</v>
      </c>
      <c r="M30" s="11" t="n">
        <v>0</v>
      </c>
      <c r="N30" s="11" t="n">
        <v>0</v>
      </c>
      <c r="O30" s="11" t="n">
        <v>0</v>
      </c>
      <c r="P30" s="11" t="n">
        <v>0</v>
      </c>
      <c r="Q30" s="11" t="n">
        <v>0</v>
      </c>
      <c r="R30" s="12">
        <f>ROUND(SUMPRODUCT(K30:Q30,Scoring_Weights!$E$5:$K$5)/Scoring_Weights!$B$12*20,0)</f>
        <v/>
      </c>
      <c r="S30" s="13">
        <f>IF(R30&gt;=Scoring_Weights!$B$15,"Tier 1",IF(R30&gt;=Scoring_Weights!$B$16,"Tier 2","Tier 3"))</f>
        <v/>
      </c>
      <c r="T30" s="6" t="inlineStr">
        <is>
          <t>Identify from the article page</t>
        </is>
      </c>
      <c r="U30" s="6" t="inlineStr">
        <is>
          <t>n/a</t>
        </is>
      </c>
      <c r="V30" s="6" t="inlineStr"/>
      <c r="W30" s="6" t="inlineStr">
        <is>
          <t>Cascade map image</t>
        </is>
      </c>
    </row>
    <row r="31">
      <c r="A31" s="6" t="inlineStr">
        <is>
          <t>Unidentified logo 2 (arches mark) - candidate: Fedaia Partners</t>
        </is>
      </c>
      <c r="B31" s="6" t="inlineStr">
        <is>
          <t>Cascade map - AUM &lt; US$5b</t>
        </is>
      </c>
      <c r="C31" s="6" t="inlineStr">
        <is>
          <t>London (if Fedaia)</t>
        </is>
      </c>
      <c r="D31" s="6" t="inlineStr">
        <is>
          <t>Not legible; Fedaia is a 2025-26 ABF / special-sits launch (debut fund target €250m per With Intelligence)</t>
        </is>
      </c>
      <c r="E31" s="6" t="inlineStr">
        <is>
          <t>n/a</t>
        </is>
      </c>
      <c r="F31" s="6" t="inlineStr">
        <is>
          <t>n/a</t>
        </is>
      </c>
      <c r="G31" s="6" t="inlineStr">
        <is>
          <t>n/a</t>
        </is>
      </c>
      <c r="H31" s="6" t="inlineStr">
        <is>
          <t>n/a</t>
        </is>
      </c>
      <c r="I31" s="6" t="inlineStr">
        <is>
          <t>n/a</t>
        </is>
      </c>
      <c r="J31" s="6" t="inlineStr">
        <is>
          <t>n/a</t>
        </is>
      </c>
      <c r="K31" s="11" t="n">
        <v>0</v>
      </c>
      <c r="L31" s="11" t="n">
        <v>0</v>
      </c>
      <c r="M31" s="11" t="n">
        <v>0</v>
      </c>
      <c r="N31" s="11" t="n">
        <v>0</v>
      </c>
      <c r="O31" s="11" t="n">
        <v>0</v>
      </c>
      <c r="P31" s="11" t="n">
        <v>0</v>
      </c>
      <c r="Q31" s="11" t="n">
        <v>0</v>
      </c>
      <c r="R31" s="12">
        <f>ROUND(SUMPRODUCT(K31:Q31,Scoring_Weights!$E$5:$K$5)/Scoring_Weights!$B$12*20,0)</f>
        <v/>
      </c>
      <c r="S31" s="13">
        <f>IF(R31&gt;=Scoring_Weights!$B$15,"Tier 1",IF(R31&gt;=Scoring_Weights!$B$16,"Tier 2","Tier 3"))</f>
        <v/>
      </c>
      <c r="T31" s="6" t="inlineStr">
        <is>
          <t>Identify from the article page</t>
        </is>
      </c>
      <c r="U31" s="6" t="inlineStr">
        <is>
          <t>n/a</t>
        </is>
      </c>
      <c r="V31" s="6" t="inlineStr"/>
      <c r="W31" s="6" t="inlineStr">
        <is>
          <t>Cascade map image</t>
        </is>
      </c>
    </row>
    <row r="32">
      <c r="A32" s="6" t="inlineStr">
        <is>
          <t>Unidentified logo 3 (feather mark, '...ana Capital')</t>
        </is>
      </c>
      <c r="B32" s="6" t="inlineStr">
        <is>
          <t>Cascade map - AUM &lt; US$5b</t>
        </is>
      </c>
      <c r="C32" s="6" t="inlineStr">
        <is>
          <t>n/a</t>
        </is>
      </c>
      <c r="D32" s="6" t="inlineStr">
        <is>
          <t>Not legible on the map image</t>
        </is>
      </c>
      <c r="E32" s="6" t="inlineStr">
        <is>
          <t>n/a</t>
        </is>
      </c>
      <c r="F32" s="6" t="inlineStr">
        <is>
          <t>n/a</t>
        </is>
      </c>
      <c r="G32" s="6" t="inlineStr">
        <is>
          <t>n/a</t>
        </is>
      </c>
      <c r="H32" s="6" t="inlineStr">
        <is>
          <t>n/a</t>
        </is>
      </c>
      <c r="I32" s="6" t="inlineStr">
        <is>
          <t>n/a</t>
        </is>
      </c>
      <c r="J32" s="6" t="inlineStr">
        <is>
          <t>n/a</t>
        </is>
      </c>
      <c r="K32" s="11" t="n">
        <v>0</v>
      </c>
      <c r="L32" s="11" t="n">
        <v>0</v>
      </c>
      <c r="M32" s="11" t="n">
        <v>0</v>
      </c>
      <c r="N32" s="11" t="n">
        <v>0</v>
      </c>
      <c r="O32" s="11" t="n">
        <v>0</v>
      </c>
      <c r="P32" s="11" t="n">
        <v>0</v>
      </c>
      <c r="Q32" s="11" t="n">
        <v>0</v>
      </c>
      <c r="R32" s="12">
        <f>ROUND(SUMPRODUCT(K32:Q32,Scoring_Weights!$E$5:$K$5)/Scoring_Weights!$B$12*20,0)</f>
        <v/>
      </c>
      <c r="S32" s="13">
        <f>IF(R32&gt;=Scoring_Weights!$B$15,"Tier 1",IF(R32&gt;=Scoring_Weights!$B$16,"Tier 2","Tier 3"))</f>
        <v/>
      </c>
      <c r="T32" s="6" t="inlineStr">
        <is>
          <t>Identify from the article page</t>
        </is>
      </c>
      <c r="U32" s="6" t="inlineStr">
        <is>
          <t>n/a</t>
        </is>
      </c>
      <c r="V32" s="6" t="inlineStr"/>
      <c r="W32" s="6" t="inlineStr">
        <is>
          <t>Cascade map image</t>
        </is>
      </c>
    </row>
    <row r="33">
      <c r="A33" s="6" t="inlineStr">
        <is>
          <t>400 Capital Management</t>
        </is>
      </c>
      <c r="B33" s="6" t="inlineStr">
        <is>
          <t>Cascade map - AUM US$5-20b</t>
        </is>
      </c>
      <c r="C33" s="6" t="inlineStr">
        <is>
          <t>New York</t>
        </is>
      </c>
      <c r="D33" s="6" t="inlineStr">
        <is>
          <t>Structured credit / ABF</t>
        </is>
      </c>
      <c r="E33" s="6" t="inlineStr">
        <is>
          <t>n/a</t>
        </is>
      </c>
      <c r="F33" s="6" t="inlineStr">
        <is>
          <t>US$25m+</t>
        </is>
      </c>
      <c r="G33" s="6" t="inlineStr">
        <is>
          <t>ABF</t>
        </is>
      </c>
      <c r="H33" s="6" t="inlineStr">
        <is>
          <t>US / Europe</t>
        </is>
      </c>
      <c r="I33" s="6" t="inlineStr">
        <is>
          <t>No</t>
        </is>
      </c>
      <c r="J33" s="6" t="inlineStr">
        <is>
          <t>Unknown</t>
        </is>
      </c>
      <c r="K33" s="11" t="n">
        <v>0</v>
      </c>
      <c r="L33" s="11" t="n">
        <v>0</v>
      </c>
      <c r="M33" s="11" t="n">
        <v>2</v>
      </c>
      <c r="N33" s="11" t="n">
        <v>0</v>
      </c>
      <c r="O33" s="11" t="n">
        <v>2</v>
      </c>
      <c r="P33" s="11" t="n">
        <v>1</v>
      </c>
      <c r="Q33" s="11" t="n">
        <v>2</v>
      </c>
      <c r="R33" s="12">
        <f>ROUND(SUMPRODUCT(K33:Q33,Scoring_Weights!$E$5:$K$5)/Scoring_Weights!$B$12*20,0)</f>
        <v/>
      </c>
      <c r="S33" s="13">
        <f>IF(R33&gt;=Scoring_Weights!$B$15,"Tier 1",IF(R33&gt;=Scoring_Weights!$B$16,"Tier 2","Tier 3"))</f>
        <v/>
      </c>
      <c r="T33" s="6" t="inlineStr">
        <is>
          <t>Not relevant</t>
        </is>
      </c>
      <c r="U33" s="6" t="inlineStr">
        <is>
          <t>n/a</t>
        </is>
      </c>
      <c r="V33" s="6" t="inlineStr"/>
      <c r="W33" s="6" t="inlineStr">
        <is>
          <t>Cascade map</t>
        </is>
      </c>
    </row>
    <row r="34">
      <c r="A34" s="6" t="inlineStr">
        <is>
          <t>Victory Park Capital</t>
        </is>
      </c>
      <c r="B34" s="6" t="inlineStr">
        <is>
          <t>Cascade map - AUM US$5-20b</t>
        </is>
      </c>
      <c r="C34" s="6" t="inlineStr">
        <is>
          <t>Chicago / London</t>
        </is>
      </c>
      <c r="D34" s="6" t="inlineStr">
        <is>
          <t>Asset-backed lending to fintech and specialty finance</t>
        </is>
      </c>
      <c r="E34" s="6" t="inlineStr">
        <is>
          <t>n/a</t>
        </is>
      </c>
      <c r="F34" s="6" t="inlineStr">
        <is>
          <t>US$25m to US$300m</t>
        </is>
      </c>
      <c r="G34" s="6" t="inlineStr">
        <is>
          <t>Warehouse / ABL</t>
        </is>
      </c>
      <c r="H34" s="6" t="inlineStr">
        <is>
          <t>US / Europe / LatAm</t>
        </is>
      </c>
      <c r="I34" s="6" t="inlineStr">
        <is>
          <t>No</t>
        </is>
      </c>
      <c r="J34" s="6" t="inlineStr">
        <is>
          <t>Unknown</t>
        </is>
      </c>
      <c r="K34" s="11" t="n">
        <v>0</v>
      </c>
      <c r="L34" s="11" t="n">
        <v>1</v>
      </c>
      <c r="M34" s="11" t="n">
        <v>3</v>
      </c>
      <c r="N34" s="11" t="n">
        <v>1</v>
      </c>
      <c r="O34" s="11" t="n">
        <v>3</v>
      </c>
      <c r="P34" s="11" t="n">
        <v>1</v>
      </c>
      <c r="Q34" s="11" t="n">
        <v>3</v>
      </c>
      <c r="R34" s="12">
        <f>ROUND(SUMPRODUCT(K34:Q34,Scoring_Weights!$E$5:$K$5)/Scoring_Weights!$B$12*20,0)</f>
        <v/>
      </c>
      <c r="S34" s="13">
        <f>IF(R34&gt;=Scoring_Weights!$B$15,"Tier 1",IF(R34&gt;=Scoring_Weights!$B$16,"Tier 2","Tier 3"))</f>
        <v/>
      </c>
      <c r="T34" s="6" t="inlineStr">
        <is>
          <t>Not relevant</t>
        </is>
      </c>
      <c r="U34" s="6" t="inlineStr">
        <is>
          <t>n/a</t>
        </is>
      </c>
      <c r="V34" s="6" t="inlineStr"/>
      <c r="W34" s="6" t="inlineStr">
        <is>
          <t>Cascade map</t>
        </is>
      </c>
    </row>
    <row r="35">
      <c r="A35" s="6" t="inlineStr">
        <is>
          <t>Polus Capital Management</t>
        </is>
      </c>
      <c r="B35" s="6" t="inlineStr">
        <is>
          <t>Cascade map - AUM US$5-20b</t>
        </is>
      </c>
      <c r="C35" s="6" t="inlineStr">
        <is>
          <t>London</t>
        </is>
      </c>
      <c r="D35" s="6" t="inlineStr">
        <is>
          <t>Special situations, CLO, structured credit</t>
        </is>
      </c>
      <c r="E35" s="6" t="inlineStr">
        <is>
          <t>n/a</t>
        </is>
      </c>
      <c r="F35" s="6" t="inlineStr">
        <is>
          <t>€20m+</t>
        </is>
      </c>
      <c r="G35" s="6" t="inlineStr">
        <is>
          <t>Special sits</t>
        </is>
      </c>
      <c r="H35" s="6" t="inlineStr">
        <is>
          <t>Europe</t>
        </is>
      </c>
      <c r="I35" s="6" t="inlineStr">
        <is>
          <t>No</t>
        </is>
      </c>
      <c r="J35" s="6" t="inlineStr">
        <is>
          <t>Unknown</t>
        </is>
      </c>
      <c r="K35" s="11" t="n">
        <v>2</v>
      </c>
      <c r="L35" s="11" t="n">
        <v>0</v>
      </c>
      <c r="M35" s="11" t="n">
        <v>3</v>
      </c>
      <c r="N35" s="11" t="n">
        <v>1</v>
      </c>
      <c r="O35" s="11" t="n">
        <v>3</v>
      </c>
      <c r="P35" s="11" t="n">
        <v>1</v>
      </c>
      <c r="Q35" s="11" t="n">
        <v>2</v>
      </c>
      <c r="R35" s="12">
        <f>ROUND(SUMPRODUCT(K35:Q35,Scoring_Weights!$E$5:$K$5)/Scoring_Weights!$B$12*20,0)</f>
        <v/>
      </c>
      <c r="S35" s="13">
        <f>IF(R35&gt;=Scoring_Weights!$B$15,"Tier 1",IF(R35&gt;=Scoring_Weights!$B$16,"Tier 2","Tier 3"))</f>
        <v/>
      </c>
      <c r="T35" s="6" t="inlineStr">
        <is>
          <t>Wave 2 - special sits</t>
        </is>
      </c>
      <c r="U35" s="6" t="inlineStr">
        <is>
          <t>Cold</t>
        </is>
      </c>
      <c r="V35" s="6" t="inlineStr"/>
      <c r="W35" s="6" t="inlineStr">
        <is>
          <t>Cascade map</t>
        </is>
      </c>
    </row>
    <row r="36">
      <c r="A36" s="6" t="inlineStr">
        <is>
          <t>One William Street Capital (1WS)</t>
        </is>
      </c>
      <c r="B36" s="6" t="inlineStr">
        <is>
          <t>Cascade map - AUM US$5-20b</t>
        </is>
      </c>
      <c r="C36" s="6" t="inlineStr">
        <is>
          <t>New York</t>
        </is>
      </c>
      <c r="D36" s="6" t="inlineStr">
        <is>
          <t>Structured credit / ABF</t>
        </is>
      </c>
      <c r="E36" s="6" t="inlineStr">
        <is>
          <t>n/a</t>
        </is>
      </c>
      <c r="F36" s="6" t="inlineStr">
        <is>
          <t>US$25m+</t>
        </is>
      </c>
      <c r="G36" s="6" t="inlineStr">
        <is>
          <t>ABF</t>
        </is>
      </c>
      <c r="H36" s="6" t="inlineStr">
        <is>
          <t>US</t>
        </is>
      </c>
      <c r="I36" s="6" t="inlineStr">
        <is>
          <t>No</t>
        </is>
      </c>
      <c r="J36" s="6" t="inlineStr">
        <is>
          <t>Unknown</t>
        </is>
      </c>
      <c r="K36" s="11" t="n">
        <v>0</v>
      </c>
      <c r="L36" s="11" t="n">
        <v>0</v>
      </c>
      <c r="M36" s="11" t="n">
        <v>2</v>
      </c>
      <c r="N36" s="11" t="n">
        <v>0</v>
      </c>
      <c r="O36" s="11" t="n">
        <v>2</v>
      </c>
      <c r="P36" s="11" t="n">
        <v>1</v>
      </c>
      <c r="Q36" s="11" t="n">
        <v>2</v>
      </c>
      <c r="R36" s="12">
        <f>ROUND(SUMPRODUCT(K36:Q36,Scoring_Weights!$E$5:$K$5)/Scoring_Weights!$B$12*20,0)</f>
        <v/>
      </c>
      <c r="S36" s="13">
        <f>IF(R36&gt;=Scoring_Weights!$B$15,"Tier 1",IF(R36&gt;=Scoring_Weights!$B$16,"Tier 2","Tier 3"))</f>
        <v/>
      </c>
      <c r="T36" s="6" t="inlineStr">
        <is>
          <t>Not relevant</t>
        </is>
      </c>
      <c r="U36" s="6" t="inlineStr">
        <is>
          <t>n/a</t>
        </is>
      </c>
      <c r="V36" s="6" t="inlineStr"/>
      <c r="W36" s="6" t="inlineStr">
        <is>
          <t>Cascade map</t>
        </is>
      </c>
    </row>
    <row r="37">
      <c r="A37" s="6" t="inlineStr">
        <is>
          <t>LCM Partners</t>
        </is>
      </c>
      <c r="B37" s="6" t="inlineStr">
        <is>
          <t>Cascade map - AUM US$5-20b</t>
        </is>
      </c>
      <c r="C37" s="6" t="inlineStr">
        <is>
          <t>London</t>
        </is>
      </c>
      <c r="D37" s="6" t="inlineStr">
        <is>
          <t>Credit Opportunities (performing and NPL portfolios)</t>
        </is>
      </c>
      <c r="E37" s="6" t="inlineStr">
        <is>
          <t>n/a</t>
        </is>
      </c>
      <c r="F37" s="6" t="inlineStr">
        <is>
          <t>€20m+</t>
        </is>
      </c>
      <c r="G37" s="6" t="inlineStr">
        <is>
          <t>Portfolio purchases</t>
        </is>
      </c>
      <c r="H37" s="6" t="inlineStr">
        <is>
          <t>Europe incl. Southern Europe</t>
        </is>
      </c>
      <c r="I37" s="6" t="inlineStr">
        <is>
          <t>No</t>
        </is>
      </c>
      <c r="J37" s="6" t="inlineStr">
        <is>
          <t>Unknown</t>
        </is>
      </c>
      <c r="K37" s="11" t="n">
        <v>0</v>
      </c>
      <c r="L37" s="11" t="n">
        <v>0</v>
      </c>
      <c r="M37" s="11" t="n">
        <v>3</v>
      </c>
      <c r="N37" s="11" t="n">
        <v>2</v>
      </c>
      <c r="O37" s="11" t="n">
        <v>2</v>
      </c>
      <c r="P37" s="11" t="n">
        <v>1</v>
      </c>
      <c r="Q37" s="11" t="n">
        <v>2</v>
      </c>
      <c r="R37" s="12">
        <f>ROUND(SUMPRODUCT(K37:Q37,Scoring_Weights!$E$5:$K$5)/Scoring_Weights!$B$12*20,0)</f>
        <v/>
      </c>
      <c r="S37" s="13">
        <f>IF(R37&gt;=Scoring_Weights!$B$15,"Tier 1",IF(R37&gt;=Scoring_Weights!$B$16,"Tier 2","Tier 3"))</f>
        <v/>
      </c>
      <c r="T37" s="6" t="inlineStr">
        <is>
          <t>Not relevant</t>
        </is>
      </c>
      <c r="U37" s="6" t="inlineStr">
        <is>
          <t>n/a</t>
        </is>
      </c>
      <c r="V37" s="6" t="inlineStr"/>
      <c r="W37" s="6" t="inlineStr">
        <is>
          <t>Cascade map</t>
        </is>
      </c>
    </row>
    <row r="38">
      <c r="A38" s="6" t="inlineStr">
        <is>
          <t>Unidentified logo 4 ('LN' green circle)</t>
        </is>
      </c>
      <c r="B38" s="6" t="inlineStr">
        <is>
          <t>Cascade map - AUM US$5-20b</t>
        </is>
      </c>
      <c r="C38" s="6" t="inlineStr">
        <is>
          <t>n/a</t>
        </is>
      </c>
      <c r="D38" s="6" t="inlineStr">
        <is>
          <t>Not legible on the map image</t>
        </is>
      </c>
      <c r="E38" s="6" t="inlineStr">
        <is>
          <t>n/a</t>
        </is>
      </c>
      <c r="F38" s="6" t="inlineStr">
        <is>
          <t>n/a</t>
        </is>
      </c>
      <c r="G38" s="6" t="inlineStr">
        <is>
          <t>n/a</t>
        </is>
      </c>
      <c r="H38" s="6" t="inlineStr">
        <is>
          <t>n/a</t>
        </is>
      </c>
      <c r="I38" s="6" t="inlineStr">
        <is>
          <t>n/a</t>
        </is>
      </c>
      <c r="J38" s="6" t="inlineStr">
        <is>
          <t>n/a</t>
        </is>
      </c>
      <c r="K38" s="11" t="n">
        <v>0</v>
      </c>
      <c r="L38" s="11" t="n">
        <v>0</v>
      </c>
      <c r="M38" s="11" t="n">
        <v>0</v>
      </c>
      <c r="N38" s="11" t="n">
        <v>0</v>
      </c>
      <c r="O38" s="11" t="n">
        <v>0</v>
      </c>
      <c r="P38" s="11" t="n">
        <v>0</v>
      </c>
      <c r="Q38" s="11" t="n">
        <v>0</v>
      </c>
      <c r="R38" s="12">
        <f>ROUND(SUMPRODUCT(K38:Q38,Scoring_Weights!$E$5:$K$5)/Scoring_Weights!$B$12*20,0)</f>
        <v/>
      </c>
      <c r="S38" s="13">
        <f>IF(R38&gt;=Scoring_Weights!$B$15,"Tier 1",IF(R38&gt;=Scoring_Weights!$B$16,"Tier 2","Tier 3"))</f>
        <v/>
      </c>
      <c r="T38" s="6" t="inlineStr">
        <is>
          <t>Identify from the article page</t>
        </is>
      </c>
      <c r="U38" s="6" t="inlineStr">
        <is>
          <t>n/a</t>
        </is>
      </c>
      <c r="V38" s="6" t="inlineStr"/>
      <c r="W38" s="6" t="inlineStr">
        <is>
          <t>Cascade map image</t>
        </is>
      </c>
    </row>
    <row r="39">
      <c r="A39" s="6" t="inlineStr">
        <is>
          <t>Balbec Capital</t>
        </is>
      </c>
      <c r="B39" s="6" t="inlineStr">
        <is>
          <t>Cascade map - AUM US$5-20b</t>
        </is>
      </c>
      <c r="C39" s="6" t="inlineStr">
        <is>
          <t>New Jersey / London</t>
        </is>
      </c>
      <c r="D39" s="6" t="inlineStr">
        <is>
          <t>Insolvency and asset-backed credit</t>
        </is>
      </c>
      <c r="E39" s="6" t="inlineStr">
        <is>
          <t>n/a</t>
        </is>
      </c>
      <c r="F39" s="6" t="inlineStr">
        <is>
          <t>US$25m+</t>
        </is>
      </c>
      <c r="G39" s="6" t="inlineStr">
        <is>
          <t>Distressed consumer / SME portfolios</t>
        </is>
      </c>
      <c r="H39" s="6" t="inlineStr">
        <is>
          <t>US / Europe</t>
        </is>
      </c>
      <c r="I39" s="6" t="inlineStr">
        <is>
          <t>No</t>
        </is>
      </c>
      <c r="J39" s="6" t="inlineStr">
        <is>
          <t>Unknown</t>
        </is>
      </c>
      <c r="K39" s="11" t="n">
        <v>0</v>
      </c>
      <c r="L39" s="11" t="n">
        <v>0</v>
      </c>
      <c r="M39" s="11" t="n">
        <v>3</v>
      </c>
      <c r="N39" s="11" t="n">
        <v>1</v>
      </c>
      <c r="O39" s="11" t="n">
        <v>2</v>
      </c>
      <c r="P39" s="11" t="n">
        <v>1</v>
      </c>
      <c r="Q39" s="11" t="n">
        <v>2</v>
      </c>
      <c r="R39" s="12">
        <f>ROUND(SUMPRODUCT(K39:Q39,Scoring_Weights!$E$5:$K$5)/Scoring_Weights!$B$12*20,0)</f>
        <v/>
      </c>
      <c r="S39" s="13">
        <f>IF(R39&gt;=Scoring_Weights!$B$15,"Tier 1",IF(R39&gt;=Scoring_Weights!$B$16,"Tier 2","Tier 3"))</f>
        <v/>
      </c>
      <c r="T39" s="6" t="inlineStr">
        <is>
          <t>Not relevant</t>
        </is>
      </c>
      <c r="U39" s="6" t="inlineStr">
        <is>
          <t>n/a</t>
        </is>
      </c>
      <c r="V39" s="6" t="inlineStr"/>
      <c r="W39" s="6" t="inlineStr">
        <is>
          <t>Cascade map</t>
        </is>
      </c>
    </row>
    <row r="40">
      <c r="A40" s="6" t="inlineStr">
        <is>
          <t>Arrow Global</t>
        </is>
      </c>
      <c r="B40" s="6" t="inlineStr">
        <is>
          <t>Cascade map - AUM US$5-20b</t>
        </is>
      </c>
      <c r="C40" s="6" t="inlineStr">
        <is>
          <t>London / Lisbon / Milan</t>
        </is>
      </c>
      <c r="D40" s="6" t="inlineStr">
        <is>
          <t>Southern Europe ABF and RE credit; ALO I €1.5b</t>
        </is>
      </c>
      <c r="E40" s="6" t="inlineStr">
        <is>
          <t>€15.3b FUM</t>
        </is>
      </c>
      <c r="F40" s="6" t="inlineStr">
        <is>
          <t>€10m to €100m</t>
        </is>
      </c>
      <c r="G40" s="6" t="inlineStr">
        <is>
          <t>Asset-backed, RE credit</t>
        </is>
      </c>
      <c r="H40" s="6" t="inlineStr">
        <is>
          <t>Portugal, Italy, Spain</t>
        </is>
      </c>
      <c r="I40" s="6" t="inlineStr">
        <is>
          <t>Real-asset backed</t>
        </is>
      </c>
      <c r="J40" s="6" t="inlineStr">
        <is>
          <t>Unknown</t>
        </is>
      </c>
      <c r="K40" s="11" t="n">
        <v>2</v>
      </c>
      <c r="L40" s="11" t="n">
        <v>1</v>
      </c>
      <c r="M40" s="11" t="n">
        <v>3</v>
      </c>
      <c r="N40" s="11" t="n">
        <v>3</v>
      </c>
      <c r="O40" s="11" t="n">
        <v>3</v>
      </c>
      <c r="P40" s="11" t="n">
        <v>1</v>
      </c>
      <c r="Q40" s="11" t="n">
        <v>2</v>
      </c>
      <c r="R40" s="12">
        <f>ROUND(SUMPRODUCT(K40:Q40,Scoring_Weights!$E$5:$K$5)/Scoring_Weights!$B$12*20,0)</f>
        <v/>
      </c>
      <c r="S40" s="13">
        <f>IF(R40&gt;=Scoring_Weights!$B$15,"Tier 1",IF(R40&gt;=Scoring_Weights!$B$16,"Tier 2","Tier 3"))</f>
        <v/>
      </c>
      <c r="T40" s="6" t="inlineStr">
        <is>
          <t>Wave 2 - real-asset lending</t>
        </is>
      </c>
      <c r="U40" s="6" t="inlineStr">
        <is>
          <t>Cold</t>
        </is>
      </c>
      <c r="V40" s="6" t="inlineStr"/>
      <c r="W40" s="6" t="inlineStr">
        <is>
          <t>arrowglobal.net</t>
        </is>
      </c>
    </row>
    <row r="41">
      <c r="A41" s="6" t="inlineStr">
        <is>
          <t>Sona Asset Management</t>
        </is>
      </c>
      <c r="B41" s="6" t="inlineStr">
        <is>
          <t>Cascade map - AUM US$5-20b</t>
        </is>
      </c>
      <c r="C41" s="6" t="inlineStr">
        <is>
          <t>London</t>
        </is>
      </c>
      <c r="D41" s="6" t="inlineStr">
        <is>
          <t>Opportunistic credit / structured</t>
        </is>
      </c>
      <c r="E41" s="6" t="inlineStr">
        <is>
          <t>n/a</t>
        </is>
      </c>
      <c r="F41" s="6" t="inlineStr">
        <is>
          <t>€20m+</t>
        </is>
      </c>
      <c r="G41" s="6" t="inlineStr">
        <is>
          <t>Opportunistic</t>
        </is>
      </c>
      <c r="H41" s="6" t="inlineStr">
        <is>
          <t>Europe</t>
        </is>
      </c>
      <c r="I41" s="6" t="inlineStr">
        <is>
          <t>No</t>
        </is>
      </c>
      <c r="J41" s="6" t="inlineStr">
        <is>
          <t>Unknown</t>
        </is>
      </c>
      <c r="K41" s="11" t="n">
        <v>2</v>
      </c>
      <c r="L41" s="11" t="n">
        <v>0</v>
      </c>
      <c r="M41" s="11" t="n">
        <v>3</v>
      </c>
      <c r="N41" s="11" t="n">
        <v>1</v>
      </c>
      <c r="O41" s="11" t="n">
        <v>3</v>
      </c>
      <c r="P41" s="11" t="n">
        <v>1</v>
      </c>
      <c r="Q41" s="11" t="n">
        <v>2</v>
      </c>
      <c r="R41" s="12">
        <f>ROUND(SUMPRODUCT(K41:Q41,Scoring_Weights!$E$5:$K$5)/Scoring_Weights!$B$12*20,0)</f>
        <v/>
      </c>
      <c r="S41" s="13">
        <f>IF(R41&gt;=Scoring_Weights!$B$15,"Tier 1",IF(R41&gt;=Scoring_Weights!$B$16,"Tier 2","Tier 3"))</f>
        <v/>
      </c>
      <c r="T41" s="6" t="inlineStr">
        <is>
          <t>Wave 2</t>
        </is>
      </c>
      <c r="U41" s="6" t="inlineStr">
        <is>
          <t>Cold</t>
        </is>
      </c>
      <c r="V41" s="6" t="inlineStr"/>
      <c r="W41" s="6" t="inlineStr">
        <is>
          <t>Cascade map</t>
        </is>
      </c>
    </row>
    <row r="42">
      <c r="A42" s="6" t="inlineStr">
        <is>
          <t>Eagle Point Credit</t>
        </is>
      </c>
      <c r="B42" s="6" t="inlineStr">
        <is>
          <t>Cascade map - AUM US$5-20b</t>
        </is>
      </c>
      <c r="C42" s="6" t="inlineStr">
        <is>
          <t>Greenwich</t>
        </is>
      </c>
      <c r="D42" s="6" t="inlineStr">
        <is>
          <t>CLO equity, ABF</t>
        </is>
      </c>
      <c r="E42" s="6" t="inlineStr">
        <is>
          <t>n/a</t>
        </is>
      </c>
      <c r="F42" s="6" t="inlineStr">
        <is>
          <t>n/a</t>
        </is>
      </c>
      <c r="G42" s="6" t="inlineStr">
        <is>
          <t>CLO</t>
        </is>
      </c>
      <c r="H42" s="6" t="inlineStr">
        <is>
          <t>US</t>
        </is>
      </c>
      <c r="I42" s="6" t="inlineStr">
        <is>
          <t>No</t>
        </is>
      </c>
      <c r="J42" s="6" t="inlineStr">
        <is>
          <t>Unknown</t>
        </is>
      </c>
      <c r="K42" s="11" t="n">
        <v>0</v>
      </c>
      <c r="L42" s="11" t="n">
        <v>0</v>
      </c>
      <c r="M42" s="11" t="n">
        <v>1</v>
      </c>
      <c r="N42" s="11" t="n">
        <v>0</v>
      </c>
      <c r="O42" s="11" t="n">
        <v>1</v>
      </c>
      <c r="P42" s="11" t="n">
        <v>1</v>
      </c>
      <c r="Q42" s="11" t="n">
        <v>1</v>
      </c>
      <c r="R42" s="12">
        <f>ROUND(SUMPRODUCT(K42:Q42,Scoring_Weights!$E$5:$K$5)/Scoring_Weights!$B$12*20,0)</f>
        <v/>
      </c>
      <c r="S42" s="13">
        <f>IF(R42&gt;=Scoring_Weights!$B$15,"Tier 1",IF(R42&gt;=Scoring_Weights!$B$16,"Tier 2","Tier 3"))</f>
        <v/>
      </c>
      <c r="T42" s="6" t="inlineStr">
        <is>
          <t>Not relevant</t>
        </is>
      </c>
      <c r="U42" s="6" t="inlineStr">
        <is>
          <t>n/a</t>
        </is>
      </c>
      <c r="V42" s="6" t="inlineStr"/>
      <c r="W42" s="6" t="inlineStr">
        <is>
          <t>Cascade map</t>
        </is>
      </c>
    </row>
    <row r="43">
      <c r="A43" s="6" t="inlineStr">
        <is>
          <t>SEER Capital</t>
        </is>
      </c>
      <c r="B43" s="6" t="inlineStr">
        <is>
          <t>Cascade map - AUM US$5-20b</t>
        </is>
      </c>
      <c r="C43" s="6" t="inlineStr">
        <is>
          <t>New York</t>
        </is>
      </c>
      <c r="D43" s="6" t="inlineStr">
        <is>
          <t>Structured credit</t>
        </is>
      </c>
      <c r="E43" s="6" t="inlineStr">
        <is>
          <t>n/a</t>
        </is>
      </c>
      <c r="F43" s="6" t="inlineStr">
        <is>
          <t>n/a</t>
        </is>
      </c>
      <c r="G43" s="6" t="inlineStr">
        <is>
          <t>ABS</t>
        </is>
      </c>
      <c r="H43" s="6" t="inlineStr">
        <is>
          <t>US</t>
        </is>
      </c>
      <c r="I43" s="6" t="inlineStr">
        <is>
          <t>No</t>
        </is>
      </c>
      <c r="J43" s="6" t="inlineStr">
        <is>
          <t>Unknown</t>
        </is>
      </c>
      <c r="K43" s="11" t="n">
        <v>0</v>
      </c>
      <c r="L43" s="11" t="n">
        <v>0</v>
      </c>
      <c r="M43" s="11" t="n">
        <v>1</v>
      </c>
      <c r="N43" s="11" t="n">
        <v>0</v>
      </c>
      <c r="O43" s="11" t="n">
        <v>1</v>
      </c>
      <c r="P43" s="11" t="n">
        <v>1</v>
      </c>
      <c r="Q43" s="11" t="n">
        <v>1</v>
      </c>
      <c r="R43" s="12">
        <f>ROUND(SUMPRODUCT(K43:Q43,Scoring_Weights!$E$5:$K$5)/Scoring_Weights!$B$12*20,0)</f>
        <v/>
      </c>
      <c r="S43" s="13">
        <f>IF(R43&gt;=Scoring_Weights!$B$15,"Tier 1",IF(R43&gt;=Scoring_Weights!$B$16,"Tier 2","Tier 3"))</f>
        <v/>
      </c>
      <c r="T43" s="6" t="inlineStr">
        <is>
          <t>Not relevant</t>
        </is>
      </c>
      <c r="U43" s="6" t="inlineStr">
        <is>
          <t>n/a</t>
        </is>
      </c>
      <c r="V43" s="6" t="inlineStr"/>
      <c r="W43" s="6" t="inlineStr">
        <is>
          <t>Cascade map</t>
        </is>
      </c>
    </row>
    <row r="44">
      <c r="A44" s="6" t="inlineStr">
        <is>
          <t>Sienna Investment Managers (Sienna Private Credit, ex-Acofi)</t>
        </is>
      </c>
      <c r="B44" s="6" t="inlineStr">
        <is>
          <t>Cascade map - AUM US$5-20b</t>
        </is>
      </c>
      <c r="C44" s="6" t="inlineStr">
        <is>
          <t>Paris / Luxembourg / Milan</t>
        </is>
      </c>
      <c r="D44" s="6" t="inlineStr">
        <is>
          <t>Real-asset debt; energy-transition infrastructure debt (ex-Acofi Predirec EnR); SME / bridge</t>
        </is>
      </c>
      <c r="E44" s="6" t="inlineStr">
        <is>
          <t>n/a</t>
        </is>
      </c>
      <c r="F44" s="6" t="inlineStr">
        <is>
          <t>€5m to €50m</t>
        </is>
      </c>
      <c r="G44" s="6" t="inlineStr">
        <is>
          <t>Real-asset lending, infra / energy debt</t>
        </is>
      </c>
      <c r="H44" s="6" t="inlineStr">
        <is>
          <t>France core; Italy; Greece n/a</t>
        </is>
      </c>
      <c r="I44" s="6" t="inlineStr">
        <is>
          <t>Dedicated renewable / energy-transition debt funds at €5m to €50m</t>
        </is>
      </c>
      <c r="J44" s="6" t="inlineStr">
        <is>
          <t>Unknown</t>
        </is>
      </c>
      <c r="K44" s="11" t="n">
        <v>4</v>
      </c>
      <c r="L44" s="11" t="n">
        <v>0</v>
      </c>
      <c r="M44" s="11" t="n">
        <v>4</v>
      </c>
      <c r="N44" s="11" t="n">
        <v>2</v>
      </c>
      <c r="O44" s="11" t="n">
        <v>3</v>
      </c>
      <c r="P44" s="11" t="n">
        <v>1</v>
      </c>
      <c r="Q44" s="11" t="n">
        <v>3</v>
      </c>
      <c r="R44" s="12">
        <f>ROUND(SUMPRODUCT(K44:Q44,Scoring_Weights!$E$5:$K$5)/Scoring_Weights!$B$12*20,0)</f>
        <v/>
      </c>
      <c r="S44" s="13">
        <f>IF(R44&gt;=Scoring_Weights!$B$15,"Tier 1",IF(R44&gt;=Scoring_Weights!$B$16,"Tier 2","Tier 3"))</f>
        <v/>
      </c>
      <c r="T44" s="6" t="inlineStr">
        <is>
          <t>Wave 1 - rare mid-size manager with energy-infra debt at Impactus' ticket; needs EIB or FR / IT co-lender</t>
        </is>
      </c>
      <c r="U44" s="6" t="inlineStr">
        <is>
          <t>LinkedIn first</t>
        </is>
      </c>
      <c r="V44" s="6" t="inlineStr"/>
      <c r="W44" s="6" t="inlineStr">
        <is>
          <t>Cascade map; agent screen</t>
        </is>
      </c>
    </row>
    <row r="45">
      <c r="A45" s="6" t="inlineStr">
        <is>
          <t>Arcano Partners</t>
        </is>
      </c>
      <c r="B45" s="6" t="inlineStr">
        <is>
          <t>Cascade map - AUM US$5-20b</t>
        </is>
      </c>
      <c r="C45" s="6" t="inlineStr">
        <is>
          <t>Madrid</t>
        </is>
      </c>
      <c r="D45" s="6" t="inlineStr">
        <is>
          <t>Private debt, infrastructure, advisory</t>
        </is>
      </c>
      <c r="E45" s="6" t="inlineStr">
        <is>
          <t>n/a</t>
        </is>
      </c>
      <c r="F45" s="6" t="inlineStr">
        <is>
          <t>€5m to €30m</t>
        </is>
      </c>
      <c r="G45" s="6" t="inlineStr">
        <is>
          <t>Private debt</t>
        </is>
      </c>
      <c r="H45" s="6" t="inlineStr">
        <is>
          <t>Iberia</t>
        </is>
      </c>
      <c r="I45" s="6" t="inlineStr">
        <is>
          <t>Infrastructure team</t>
        </is>
      </c>
      <c r="J45" s="6" t="inlineStr">
        <is>
          <t>Unknown</t>
        </is>
      </c>
      <c r="K45" s="11" t="n">
        <v>2</v>
      </c>
      <c r="L45" s="11" t="n">
        <v>1</v>
      </c>
      <c r="M45" s="11" t="n">
        <v>5</v>
      </c>
      <c r="N45" s="11" t="n">
        <v>3</v>
      </c>
      <c r="O45" s="11" t="n">
        <v>2</v>
      </c>
      <c r="P45" s="11" t="n">
        <v>1</v>
      </c>
      <c r="Q45" s="11" t="n">
        <v>3</v>
      </c>
      <c r="R45" s="12">
        <f>ROUND(SUMPRODUCT(K45:Q45,Scoring_Weights!$E$5:$K$5)/Scoring_Weights!$B$12*20,0)</f>
        <v/>
      </c>
      <c r="S45" s="13">
        <f>IF(R45&gt;=Scoring_Weights!$B$15,"Tier 1",IF(R45&gt;=Scoring_Weights!$B$16,"Tier 2","Tier 3"))</f>
        <v/>
      </c>
      <c r="T45" s="6" t="inlineStr">
        <is>
          <t>Wave 2 - Iberian private debt with infra angle</t>
        </is>
      </c>
      <c r="U45" s="6" t="inlineStr">
        <is>
          <t>LinkedIn first</t>
        </is>
      </c>
      <c r="V45" s="6" t="inlineStr"/>
      <c r="W45" s="6" t="inlineStr">
        <is>
          <t>Cascade map</t>
        </is>
      </c>
    </row>
    <row r="46">
      <c r="A46" s="6" t="inlineStr">
        <is>
          <t>AlbaCore Capital Group</t>
        </is>
      </c>
      <c r="B46" s="6" t="inlineStr">
        <is>
          <t>Cascade map - AUM US$5-20b</t>
        </is>
      </c>
      <c r="C46" s="6" t="inlineStr">
        <is>
          <t>London</t>
        </is>
      </c>
      <c r="D46" s="6" t="inlineStr">
        <is>
          <t>Senior direct lending US$1.8b first close (ADIA / MUFG)</t>
        </is>
      </c>
      <c r="E46" s="6" t="inlineStr">
        <is>
          <t>US$1.8b</t>
        </is>
      </c>
      <c r="F46" s="6" t="inlineStr">
        <is>
          <t>€25m+</t>
        </is>
      </c>
      <c r="G46" s="6" t="inlineStr">
        <is>
          <t>Senior DL, opportunistic</t>
        </is>
      </c>
      <c r="H46" s="6" t="inlineStr">
        <is>
          <t>Europe</t>
        </is>
      </c>
      <c r="I46" s="6" t="inlineStr">
        <is>
          <t>No</t>
        </is>
      </c>
      <c r="J46" s="6" t="inlineStr">
        <is>
          <t>Unknown</t>
        </is>
      </c>
      <c r="K46" s="11" t="n">
        <v>1</v>
      </c>
      <c r="L46" s="11" t="n">
        <v>0</v>
      </c>
      <c r="M46" s="11" t="n">
        <v>2</v>
      </c>
      <c r="N46" s="11" t="n">
        <v>1</v>
      </c>
      <c r="O46" s="11" t="n">
        <v>3</v>
      </c>
      <c r="P46" s="11" t="n">
        <v>1</v>
      </c>
      <c r="Q46" s="11" t="n">
        <v>2</v>
      </c>
      <c r="R46" s="12">
        <f>ROUND(SUMPRODUCT(K46:Q46,Scoring_Weights!$E$5:$K$5)/Scoring_Weights!$B$12*20,0)</f>
        <v/>
      </c>
      <c r="S46" s="13">
        <f>IF(R46&gt;=Scoring_Weights!$B$15,"Tier 1",IF(R46&gt;=Scoring_Weights!$B$16,"Tier 2","Tier 3"))</f>
        <v/>
      </c>
      <c r="T46" s="6" t="inlineStr">
        <is>
          <t>Tier 3</t>
        </is>
      </c>
      <c r="U46" s="6" t="inlineStr">
        <is>
          <t>Cold</t>
        </is>
      </c>
      <c r="V46" s="6" t="inlineStr"/>
      <c r="W46" s="6" t="inlineStr">
        <is>
          <t>Institutional Investor</t>
        </is>
      </c>
    </row>
    <row r="47">
      <c r="A47" s="6" t="inlineStr">
        <is>
          <t>Unidentified logo 5 ('A... Capital Group') - candidates: Avenue Capital Group or Anchorage Capital Group</t>
        </is>
      </c>
      <c r="B47" s="6" t="inlineStr">
        <is>
          <t>Cascade map - AUM US$5-20b</t>
        </is>
      </c>
      <c r="C47" s="6" t="inlineStr">
        <is>
          <t>New York / London</t>
        </is>
      </c>
      <c r="D47" s="6" t="inlineStr">
        <is>
          <t>Not legible; Avenue (European special sits + asset-based lending strategy) fits the bucket best</t>
        </is>
      </c>
      <c r="E47" s="6" t="inlineStr">
        <is>
          <t>n/a</t>
        </is>
      </c>
      <c r="F47" s="6" t="inlineStr">
        <is>
          <t>n/a</t>
        </is>
      </c>
      <c r="G47" s="6" t="inlineStr">
        <is>
          <t>n/a</t>
        </is>
      </c>
      <c r="H47" s="6" t="inlineStr">
        <is>
          <t>n/a</t>
        </is>
      </c>
      <c r="I47" s="6" t="inlineStr">
        <is>
          <t>n/a</t>
        </is>
      </c>
      <c r="J47" s="6" t="inlineStr">
        <is>
          <t>n/a</t>
        </is>
      </c>
      <c r="K47" s="11" t="n">
        <v>0</v>
      </c>
      <c r="L47" s="11" t="n">
        <v>0</v>
      </c>
      <c r="M47" s="11" t="n">
        <v>0</v>
      </c>
      <c r="N47" s="11" t="n">
        <v>0</v>
      </c>
      <c r="O47" s="11" t="n">
        <v>0</v>
      </c>
      <c r="P47" s="11" t="n">
        <v>0</v>
      </c>
      <c r="Q47" s="11" t="n">
        <v>0</v>
      </c>
      <c r="R47" s="12">
        <f>ROUND(SUMPRODUCT(K47:Q47,Scoring_Weights!$E$5:$K$5)/Scoring_Weights!$B$12*20,0)</f>
        <v/>
      </c>
      <c r="S47" s="13">
        <f>IF(R47&gt;=Scoring_Weights!$B$15,"Tier 1",IF(R47&gt;=Scoring_Weights!$B$16,"Tier 2","Tier 3"))</f>
        <v/>
      </c>
      <c r="T47" s="6" t="inlineStr">
        <is>
          <t>Identify from the article page</t>
        </is>
      </c>
      <c r="U47" s="6" t="inlineStr">
        <is>
          <t>n/a</t>
        </is>
      </c>
      <c r="V47" s="6" t="inlineStr"/>
      <c r="W47" s="6" t="inlineStr">
        <is>
          <t>Cascade map image</t>
        </is>
      </c>
    </row>
    <row r="48">
      <c r="A48" s="6" t="inlineStr">
        <is>
          <t>Cheyne Capital</t>
        </is>
      </c>
      <c r="B48" s="6" t="inlineStr">
        <is>
          <t>Cascade map - AUM US$5-20b</t>
        </is>
      </c>
      <c r="C48" s="6" t="inlineStr">
        <is>
          <t>London</t>
        </is>
      </c>
      <c r="D48" s="6" t="inlineStr">
        <is>
          <t>Strategic Value Credit; real-estate credit</t>
        </is>
      </c>
      <c r="E48" s="6" t="inlineStr">
        <is>
          <t>n/a</t>
        </is>
      </c>
      <c r="F48" s="6" t="inlineStr">
        <is>
          <t>€20m to €150m</t>
        </is>
      </c>
      <c r="G48" s="6" t="inlineStr">
        <is>
          <t>Opportunistic, real assets</t>
        </is>
      </c>
      <c r="H48" s="6" t="inlineStr">
        <is>
          <t>Europe</t>
        </is>
      </c>
      <c r="I48" s="6" t="inlineStr">
        <is>
          <t>Real assets</t>
        </is>
      </c>
      <c r="J48" s="6" t="inlineStr">
        <is>
          <t>Unknown</t>
        </is>
      </c>
      <c r="K48" s="11" t="n">
        <v>3</v>
      </c>
      <c r="L48" s="11" t="n">
        <v>1</v>
      </c>
      <c r="M48" s="11" t="n">
        <v>3</v>
      </c>
      <c r="N48" s="11" t="n">
        <v>2</v>
      </c>
      <c r="O48" s="11" t="n">
        <v>4</v>
      </c>
      <c r="P48" s="11" t="n">
        <v>1</v>
      </c>
      <c r="Q48" s="11" t="n">
        <v>2</v>
      </c>
      <c r="R48" s="12">
        <f>ROUND(SUMPRODUCT(K48:Q48,Scoring_Weights!$E$5:$K$5)/Scoring_Weights!$B$12*20,0)</f>
        <v/>
      </c>
      <c r="S48" s="13">
        <f>IF(R48&gt;=Scoring_Weights!$B$15,"Tier 1",IF(R48&gt;=Scoring_Weights!$B$16,"Tier 2","Tier 3"))</f>
        <v/>
      </c>
      <c r="T48" s="6" t="inlineStr">
        <is>
          <t>Wave 2 - SVC team</t>
        </is>
      </c>
      <c r="U48" s="6" t="inlineStr">
        <is>
          <t>Cold</t>
        </is>
      </c>
      <c r="V48" s="6" t="inlineStr"/>
      <c r="W48" s="6" t="inlineStr">
        <is>
          <t>cheynecapital.com</t>
        </is>
      </c>
    </row>
    <row r="49">
      <c r="A49" s="6" t="inlineStr">
        <is>
          <t>Pollen Street Capital</t>
        </is>
      </c>
      <c r="B49" s="6" t="inlineStr">
        <is>
          <t>Cascade map - AUM US$5-20b</t>
        </is>
      </c>
      <c r="C49" s="6" t="inlineStr">
        <is>
          <t>London</t>
        </is>
      </c>
      <c r="D49" s="6" t="inlineStr">
        <is>
          <t>Credit Fund IV £2.5b; asset-backed</t>
        </is>
      </c>
      <c r="E49" s="6" t="inlineStr">
        <is>
          <t>£2.5b</t>
        </is>
      </c>
      <c r="F49" s="6" t="inlineStr">
        <is>
          <t>€20m to €150m</t>
        </is>
      </c>
      <c r="G49" s="6" t="inlineStr">
        <is>
          <t>ABL, forward flow</t>
        </is>
      </c>
      <c r="H49" s="6" t="inlineStr">
        <is>
          <t>UK / Europe</t>
        </is>
      </c>
      <c r="I49" s="6" t="inlineStr">
        <is>
          <t>Specialty finance</t>
        </is>
      </c>
      <c r="J49" s="6" t="inlineStr">
        <is>
          <t>Unknown</t>
        </is>
      </c>
      <c r="K49" s="11" t="n">
        <v>1</v>
      </c>
      <c r="L49" s="11" t="n">
        <v>1</v>
      </c>
      <c r="M49" s="11" t="n">
        <v>3</v>
      </c>
      <c r="N49" s="11" t="n">
        <v>2</v>
      </c>
      <c r="O49" s="11" t="n">
        <v>3</v>
      </c>
      <c r="P49" s="11" t="n">
        <v>1</v>
      </c>
      <c r="Q49" s="11" t="n">
        <v>2</v>
      </c>
      <c r="R49" s="12">
        <f>ROUND(SUMPRODUCT(K49:Q49,Scoring_Weights!$E$5:$K$5)/Scoring_Weights!$B$12*20,0)</f>
        <v/>
      </c>
      <c r="S49" s="13">
        <f>IF(R49&gt;=Scoring_Weights!$B$15,"Tier 1",IF(R49&gt;=Scoring_Weights!$B$16,"Tier 2","Tier 3"))</f>
        <v/>
      </c>
      <c r="T49" s="6" t="inlineStr">
        <is>
          <t>Tier 3</t>
        </is>
      </c>
      <c r="U49" s="6" t="inlineStr">
        <is>
          <t>Cold</t>
        </is>
      </c>
      <c r="V49" s="6" t="inlineStr"/>
      <c r="W49" s="6" t="inlineStr">
        <is>
          <t>Kirkland Apr 2026</t>
        </is>
      </c>
    </row>
    <row r="50">
      <c r="A50" s="6" t="inlineStr">
        <is>
          <t>Redding Ridge Asset Management</t>
        </is>
      </c>
      <c r="B50" s="6" t="inlineStr">
        <is>
          <t>Cascade map - AUM US$5-20b</t>
        </is>
      </c>
      <c r="C50" s="6" t="inlineStr">
        <is>
          <t>New York / London</t>
        </is>
      </c>
      <c r="D50" s="6" t="inlineStr">
        <is>
          <t>CLO manager (Apollo affiliate)</t>
        </is>
      </c>
      <c r="E50" s="6" t="inlineStr">
        <is>
          <t>n/a</t>
        </is>
      </c>
      <c r="F50" s="6" t="inlineStr">
        <is>
          <t>n/a</t>
        </is>
      </c>
      <c r="G50" s="6" t="inlineStr">
        <is>
          <t>CLO</t>
        </is>
      </c>
      <c r="H50" s="6" t="inlineStr">
        <is>
          <t>US / Europe</t>
        </is>
      </c>
      <c r="I50" s="6" t="inlineStr">
        <is>
          <t>No</t>
        </is>
      </c>
      <c r="J50" s="6" t="inlineStr">
        <is>
          <t>Unknown</t>
        </is>
      </c>
      <c r="K50" s="11" t="n">
        <v>0</v>
      </c>
      <c r="L50" s="11" t="n">
        <v>0</v>
      </c>
      <c r="M50" s="11" t="n">
        <v>1</v>
      </c>
      <c r="N50" s="11" t="n">
        <v>0</v>
      </c>
      <c r="O50" s="11" t="n">
        <v>1</v>
      </c>
      <c r="P50" s="11" t="n">
        <v>1</v>
      </c>
      <c r="Q50" s="11" t="n">
        <v>1</v>
      </c>
      <c r="R50" s="12">
        <f>ROUND(SUMPRODUCT(K50:Q50,Scoring_Weights!$E$5:$K$5)/Scoring_Weights!$B$12*20,0)</f>
        <v/>
      </c>
      <c r="S50" s="13">
        <f>IF(R50&gt;=Scoring_Weights!$B$15,"Tier 1",IF(R50&gt;=Scoring_Weights!$B$16,"Tier 2","Tier 3"))</f>
        <v/>
      </c>
      <c r="T50" s="6" t="inlineStr">
        <is>
          <t>Not relevant</t>
        </is>
      </c>
      <c r="U50" s="6" t="inlineStr">
        <is>
          <t>n/a</t>
        </is>
      </c>
      <c r="V50" s="6" t="inlineStr"/>
      <c r="W50" s="6" t="inlineStr">
        <is>
          <t>Cascade map</t>
        </is>
      </c>
    </row>
    <row r="51">
      <c r="A51" s="6" t="inlineStr">
        <is>
          <t>Napier Park Global Capital</t>
        </is>
      </c>
      <c r="B51" s="6" t="inlineStr">
        <is>
          <t>Cascade map - AUM US$5-20b</t>
        </is>
      </c>
      <c r="C51" s="6" t="inlineStr">
        <is>
          <t>New York / London</t>
        </is>
      </c>
      <c r="D51" s="6" t="inlineStr">
        <is>
          <t>Structured credit, real assets</t>
        </is>
      </c>
      <c r="E51" s="6" t="inlineStr">
        <is>
          <t>n/a</t>
        </is>
      </c>
      <c r="F51" s="6" t="inlineStr">
        <is>
          <t>US$25m+</t>
        </is>
      </c>
      <c r="G51" s="6" t="inlineStr">
        <is>
          <t>ABF, real assets</t>
        </is>
      </c>
      <c r="H51" s="6" t="inlineStr">
        <is>
          <t>US / Europe</t>
        </is>
      </c>
      <c r="I51" s="6" t="inlineStr">
        <is>
          <t>Real assets</t>
        </is>
      </c>
      <c r="J51" s="6" t="inlineStr">
        <is>
          <t>Unknown</t>
        </is>
      </c>
      <c r="K51" s="11" t="n">
        <v>1</v>
      </c>
      <c r="L51" s="11" t="n">
        <v>0</v>
      </c>
      <c r="M51" s="11" t="n">
        <v>2</v>
      </c>
      <c r="N51" s="11" t="n">
        <v>0</v>
      </c>
      <c r="O51" s="11" t="n">
        <v>3</v>
      </c>
      <c r="P51" s="11" t="n">
        <v>1</v>
      </c>
      <c r="Q51" s="11" t="n">
        <v>2</v>
      </c>
      <c r="R51" s="12">
        <f>ROUND(SUMPRODUCT(K51:Q51,Scoring_Weights!$E$5:$K$5)/Scoring_Weights!$B$12*20,0)</f>
        <v/>
      </c>
      <c r="S51" s="13">
        <f>IF(R51&gt;=Scoring_Weights!$B$15,"Tier 1",IF(R51&gt;=Scoring_Weights!$B$16,"Tier 2","Tier 3"))</f>
        <v/>
      </c>
      <c r="T51" s="6" t="inlineStr">
        <is>
          <t>Tier 3</t>
        </is>
      </c>
      <c r="U51" s="6" t="inlineStr">
        <is>
          <t>Cold</t>
        </is>
      </c>
      <c r="V51" s="6" t="inlineStr"/>
      <c r="W51" s="6" t="inlineStr">
        <is>
          <t>Cascade map</t>
        </is>
      </c>
    </row>
    <row r="52">
      <c r="A52" s="6" t="inlineStr">
        <is>
          <t>Cross Ocean Partners</t>
        </is>
      </c>
      <c r="B52" s="6" t="inlineStr">
        <is>
          <t>Cascade map - AUM US$5-20b</t>
        </is>
      </c>
      <c r="C52" s="6" t="inlineStr">
        <is>
          <t>London</t>
        </is>
      </c>
      <c r="D52" s="6" t="inlineStr">
        <is>
          <t>European special situations and ABF</t>
        </is>
      </c>
      <c r="E52" s="6" t="inlineStr">
        <is>
          <t>n/a</t>
        </is>
      </c>
      <c r="F52" s="6" t="inlineStr">
        <is>
          <t>€20m to €100m</t>
        </is>
      </c>
      <c r="G52" s="6" t="inlineStr">
        <is>
          <t>Special sits, ABL</t>
        </is>
      </c>
      <c r="H52" s="6" t="inlineStr">
        <is>
          <t>Europe incl. Southern Europe</t>
        </is>
      </c>
      <c r="I52" s="6" t="inlineStr">
        <is>
          <t>Asset-backed</t>
        </is>
      </c>
      <c r="J52" s="6" t="inlineStr">
        <is>
          <t>Unknown</t>
        </is>
      </c>
      <c r="K52" s="11" t="n">
        <v>3</v>
      </c>
      <c r="L52" s="11" t="n">
        <v>1</v>
      </c>
      <c r="M52" s="11" t="n">
        <v>3</v>
      </c>
      <c r="N52" s="11" t="n">
        <v>3</v>
      </c>
      <c r="O52" s="11" t="n">
        <v>4</v>
      </c>
      <c r="P52" s="11" t="n">
        <v>1</v>
      </c>
      <c r="Q52" s="11" t="n">
        <v>3</v>
      </c>
      <c r="R52" s="12">
        <f>ROUND(SUMPRODUCT(K52:Q52,Scoring_Weights!$E$5:$K$5)/Scoring_Weights!$B$12*20,0)</f>
        <v/>
      </c>
      <c r="S52" s="13">
        <f>IF(R52&gt;=Scoring_Weights!$B$15,"Tier 1",IF(R52&gt;=Scoring_Weights!$B$16,"Tier 2","Tier 3"))</f>
        <v/>
      </c>
      <c r="T52" s="6" t="inlineStr">
        <is>
          <t>Wave 1 - special-sits / asset-backed tranche</t>
        </is>
      </c>
      <c r="U52" s="6" t="inlineStr">
        <is>
          <t>LinkedIn first</t>
        </is>
      </c>
      <c r="V52" s="6" t="inlineStr"/>
      <c r="W52" s="6" t="inlineStr">
        <is>
          <t>Cascade map</t>
        </is>
      </c>
    </row>
    <row r="53">
      <c r="A53" s="6" t="inlineStr">
        <is>
          <t>Värde Partners</t>
        </is>
      </c>
      <c r="B53" s="6" t="inlineStr">
        <is>
          <t>Cascade map - AUM US$5-20b</t>
        </is>
      </c>
      <c r="C53" s="6" t="inlineStr">
        <is>
          <t>Minneapolis / London</t>
        </is>
      </c>
      <c r="D53" s="6" t="inlineStr">
        <is>
          <t>Opportunistic credit, real assets, ABF</t>
        </is>
      </c>
      <c r="E53" s="6" t="inlineStr">
        <is>
          <t>n/a</t>
        </is>
      </c>
      <c r="F53" s="6" t="inlineStr">
        <is>
          <t>US$25m+</t>
        </is>
      </c>
      <c r="G53" s="6" t="inlineStr">
        <is>
          <t>Opportunistic</t>
        </is>
      </c>
      <c r="H53" s="6" t="inlineStr">
        <is>
          <t>Global incl. Europe</t>
        </is>
      </c>
      <c r="I53" s="6" t="inlineStr">
        <is>
          <t>Real assets</t>
        </is>
      </c>
      <c r="J53" s="6" t="inlineStr">
        <is>
          <t>Unknown</t>
        </is>
      </c>
      <c r="K53" s="11" t="n">
        <v>2</v>
      </c>
      <c r="L53" s="11" t="n">
        <v>0</v>
      </c>
      <c r="M53" s="11" t="n">
        <v>2</v>
      </c>
      <c r="N53" s="11" t="n">
        <v>1</v>
      </c>
      <c r="O53" s="11" t="n">
        <v>4</v>
      </c>
      <c r="P53" s="11" t="n">
        <v>1</v>
      </c>
      <c r="Q53" s="11" t="n">
        <v>2</v>
      </c>
      <c r="R53" s="12">
        <f>ROUND(SUMPRODUCT(K53:Q53,Scoring_Weights!$E$5:$K$5)/Scoring_Weights!$B$12*20,0)</f>
        <v/>
      </c>
      <c r="S53" s="13">
        <f>IF(R53&gt;=Scoring_Weights!$B$15,"Tier 1",IF(R53&gt;=Scoring_Weights!$B$16,"Tier 2","Tier 3"))</f>
        <v/>
      </c>
      <c r="T53" s="6" t="inlineStr">
        <is>
          <t>Wave 2</t>
        </is>
      </c>
      <c r="U53" s="6" t="inlineStr">
        <is>
          <t>Cold</t>
        </is>
      </c>
      <c r="V53" s="6" t="inlineStr"/>
      <c r="W53" s="6" t="inlineStr">
        <is>
          <t>Cascade map</t>
        </is>
      </c>
    </row>
    <row r="54">
      <c r="A54" s="6" t="inlineStr">
        <is>
          <t>CIFC Asset Management</t>
        </is>
      </c>
      <c r="B54" s="6" t="inlineStr">
        <is>
          <t>Cascade map - AUM US$5-20b</t>
        </is>
      </c>
      <c r="C54" s="6" t="inlineStr">
        <is>
          <t>New York / London</t>
        </is>
      </c>
      <c r="D54" s="6" t="inlineStr">
        <is>
          <t>CLO, structured credit</t>
        </is>
      </c>
      <c r="E54" s="6" t="inlineStr">
        <is>
          <t>n/a</t>
        </is>
      </c>
      <c r="F54" s="6" t="inlineStr">
        <is>
          <t>n/a</t>
        </is>
      </c>
      <c r="G54" s="6" t="inlineStr">
        <is>
          <t>CLO</t>
        </is>
      </c>
      <c r="H54" s="6" t="inlineStr">
        <is>
          <t>US / Europe</t>
        </is>
      </c>
      <c r="I54" s="6" t="inlineStr">
        <is>
          <t>No</t>
        </is>
      </c>
      <c r="J54" s="6" t="inlineStr">
        <is>
          <t>Unknown</t>
        </is>
      </c>
      <c r="K54" s="11" t="n">
        <v>0</v>
      </c>
      <c r="L54" s="11" t="n">
        <v>0</v>
      </c>
      <c r="M54" s="11" t="n">
        <v>1</v>
      </c>
      <c r="N54" s="11" t="n">
        <v>0</v>
      </c>
      <c r="O54" s="11" t="n">
        <v>1</v>
      </c>
      <c r="P54" s="11" t="n">
        <v>1</v>
      </c>
      <c r="Q54" s="11" t="n">
        <v>1</v>
      </c>
      <c r="R54" s="12">
        <f>ROUND(SUMPRODUCT(K54:Q54,Scoring_Weights!$E$5:$K$5)/Scoring_Weights!$B$12*20,0)</f>
        <v/>
      </c>
      <c r="S54" s="13">
        <f>IF(R54&gt;=Scoring_Weights!$B$15,"Tier 1",IF(R54&gt;=Scoring_Weights!$B$16,"Tier 2","Tier 3"))</f>
        <v/>
      </c>
      <c r="T54" s="6" t="inlineStr">
        <is>
          <t>Not relevant</t>
        </is>
      </c>
      <c r="U54" s="6" t="inlineStr">
        <is>
          <t>n/a</t>
        </is>
      </c>
      <c r="V54" s="6" t="inlineStr"/>
      <c r="W54" s="6" t="inlineStr">
        <is>
          <t>Cascade map</t>
        </is>
      </c>
    </row>
    <row r="55">
      <c r="A55" s="6" t="inlineStr">
        <is>
          <t>Magnetar Capital</t>
        </is>
      </c>
      <c r="B55" s="6" t="inlineStr">
        <is>
          <t>Cascade map - AUM US$5-20b</t>
        </is>
      </c>
      <c r="C55" s="6" t="inlineStr">
        <is>
          <t>Evanston / London</t>
        </is>
      </c>
      <c r="D55" s="6" t="inlineStr">
        <is>
          <t>Alternative credit, energy, infrastructure</t>
        </is>
      </c>
      <c r="E55" s="6" t="inlineStr">
        <is>
          <t>n/a</t>
        </is>
      </c>
      <c r="F55" s="6" t="inlineStr">
        <is>
          <t>US$25m+</t>
        </is>
      </c>
      <c r="G55" s="6" t="inlineStr">
        <is>
          <t>Structured / energy</t>
        </is>
      </c>
      <c r="H55" s="6" t="inlineStr">
        <is>
          <t>US / Europe</t>
        </is>
      </c>
      <c r="I55" s="6" t="inlineStr">
        <is>
          <t>Energy infrastructure</t>
        </is>
      </c>
      <c r="J55" s="6" t="inlineStr">
        <is>
          <t>Unknown</t>
        </is>
      </c>
      <c r="K55" s="11" t="n">
        <v>2</v>
      </c>
      <c r="L55" s="11" t="n">
        <v>0</v>
      </c>
      <c r="M55" s="11" t="n">
        <v>2</v>
      </c>
      <c r="N55" s="11" t="n">
        <v>0</v>
      </c>
      <c r="O55" s="11" t="n">
        <v>4</v>
      </c>
      <c r="P55" s="11" t="n">
        <v>1</v>
      </c>
      <c r="Q55" s="11" t="n">
        <v>2</v>
      </c>
      <c r="R55" s="12">
        <f>ROUND(SUMPRODUCT(K55:Q55,Scoring_Weights!$E$5:$K$5)/Scoring_Weights!$B$12*20,0)</f>
        <v/>
      </c>
      <c r="S55" s="13">
        <f>IF(R55&gt;=Scoring_Weights!$B$15,"Tier 1",IF(R55&gt;=Scoring_Weights!$B$16,"Tier 2","Tier 3"))</f>
        <v/>
      </c>
      <c r="T55" s="6" t="inlineStr">
        <is>
          <t>Wave 2</t>
        </is>
      </c>
      <c r="U55" s="6" t="inlineStr">
        <is>
          <t>Cold</t>
        </is>
      </c>
      <c r="V55" s="6" t="inlineStr"/>
      <c r="W55" s="6" t="inlineStr">
        <is>
          <t>Cascade map</t>
        </is>
      </c>
    </row>
    <row r="56">
      <c r="A56" s="6" t="inlineStr">
        <is>
          <t>Waterfall Asset Management</t>
        </is>
      </c>
      <c r="B56" s="6" t="inlineStr">
        <is>
          <t>Cascade map - AUM US$5-20b</t>
        </is>
      </c>
      <c r="C56" s="6" t="inlineStr">
        <is>
          <t>New York / London</t>
        </is>
      </c>
      <c r="D56" s="6" t="inlineStr">
        <is>
          <t>ABF, specialty finance, Greek NPLs (via servicers)</t>
        </is>
      </c>
      <c r="E56" s="6" t="inlineStr">
        <is>
          <t>n/a</t>
        </is>
      </c>
      <c r="F56" s="6" t="inlineStr">
        <is>
          <t>US$25m+</t>
        </is>
      </c>
      <c r="G56" s="6" t="inlineStr">
        <is>
          <t>ABF, NPL</t>
        </is>
      </c>
      <c r="H56" s="6" t="inlineStr">
        <is>
          <t>US / Europe / Greece exposure</t>
        </is>
      </c>
      <c r="I56" s="6" t="inlineStr">
        <is>
          <t>No</t>
        </is>
      </c>
      <c r="J56" s="6" t="inlineStr">
        <is>
          <t>Unknown</t>
        </is>
      </c>
      <c r="K56" s="11" t="n">
        <v>1</v>
      </c>
      <c r="L56" s="11" t="n">
        <v>0</v>
      </c>
      <c r="M56" s="11" t="n">
        <v>2</v>
      </c>
      <c r="N56" s="11" t="n">
        <v>3</v>
      </c>
      <c r="O56" s="11" t="n">
        <v>3</v>
      </c>
      <c r="P56" s="11" t="n">
        <v>1</v>
      </c>
      <c r="Q56" s="11" t="n">
        <v>2</v>
      </c>
      <c r="R56" s="12">
        <f>ROUND(SUMPRODUCT(K56:Q56,Scoring_Weights!$E$5:$K$5)/Scoring_Weights!$B$12*20,0)</f>
        <v/>
      </c>
      <c r="S56" s="13">
        <f>IF(R56&gt;=Scoring_Weights!$B$15,"Tier 1",IF(R56&gt;=Scoring_Weights!$B$16,"Tier 2","Tier 3"))</f>
        <v/>
      </c>
      <c r="T56" s="6" t="inlineStr">
        <is>
          <t>Tier 3</t>
        </is>
      </c>
      <c r="U56" s="6" t="inlineStr">
        <is>
          <t>Cold</t>
        </is>
      </c>
      <c r="V56" s="6" t="inlineStr"/>
      <c r="W56" s="6" t="inlineStr">
        <is>
          <t>Cascade map</t>
        </is>
      </c>
    </row>
    <row r="57">
      <c r="A57" s="6" t="inlineStr">
        <is>
          <t>AB CarVal Investors</t>
        </is>
      </c>
      <c r="B57" s="6" t="inlineStr">
        <is>
          <t>Cascade map - AUM US$5-20b</t>
        </is>
      </c>
      <c r="C57" s="6" t="inlineStr">
        <is>
          <t>Minneapolis / London / Luxembourg</t>
        </is>
      </c>
      <c r="D57" s="6" t="inlineStr">
        <is>
          <t>Loan portfolios, ABF, clean-energy infrastructure credit, special sits</t>
        </is>
      </c>
      <c r="E57" s="6" t="inlineStr">
        <is>
          <t>n/a</t>
        </is>
      </c>
      <c r="F57" s="6" t="inlineStr">
        <is>
          <t>US$25m to US$150m</t>
        </is>
      </c>
      <c r="G57" s="6" t="inlineStr">
        <is>
          <t>Portfolios, ABL, clean-energy project loans</t>
        </is>
      </c>
      <c r="H57" s="6" t="inlineStr">
        <is>
          <t>Southern Europe portfolios (IT / ES); Greece n/a</t>
        </is>
      </c>
      <c r="I57" s="6" t="inlineStr">
        <is>
          <t>Dedicated clean-energy credit desk lends to solar / storage - contracted-offtake industrial asset with grant is arguable</t>
        </is>
      </c>
      <c r="J57" s="6" t="inlineStr">
        <is>
          <t>Unknown</t>
        </is>
      </c>
      <c r="K57" s="11" t="n">
        <v>4</v>
      </c>
      <c r="L57" s="11" t="n">
        <v>0</v>
      </c>
      <c r="M57" s="11" t="n">
        <v>3</v>
      </c>
      <c r="N57" s="11" t="n">
        <v>2</v>
      </c>
      <c r="O57" s="11" t="n">
        <v>4</v>
      </c>
      <c r="P57" s="11" t="n">
        <v>1</v>
      </c>
      <c r="Q57" s="11" t="n">
        <v>2</v>
      </c>
      <c r="R57" s="12">
        <f>ROUND(SUMPRODUCT(K57:Q57,Scoring_Weights!$E$5:$K$5)/Scoring_Weights!$B$12*20,0)</f>
        <v/>
      </c>
      <c r="S57" s="13">
        <f>IF(R57&gt;=Scoring_Weights!$B$15,"Tier 1",IF(R57&gt;=Scoring_Weights!$B$16,"Tier 2","Tier 3"))</f>
        <v/>
      </c>
      <c r="T57" s="6" t="inlineStr">
        <is>
          <t>Wave 1 - clean-energy credit desk: present Continental / BASF offtake as contracted cash flows with a P90 case</t>
        </is>
      </c>
      <c r="U57" s="6" t="inlineStr">
        <is>
          <t>LinkedIn first</t>
        </is>
      </c>
      <c r="V57" s="6" t="inlineStr"/>
      <c r="W57" s="6" t="inlineStr">
        <is>
          <t>Cascade map; agent screen</t>
        </is>
      </c>
    </row>
    <row r="58">
      <c r="A58" s="6" t="inlineStr">
        <is>
          <t>TwentyFour Asset Management</t>
        </is>
      </c>
      <c r="B58" s="6" t="inlineStr">
        <is>
          <t>Cascade map - AUM US$5-20b</t>
        </is>
      </c>
      <c r="C58" s="6" t="inlineStr">
        <is>
          <t>London</t>
        </is>
      </c>
      <c r="D58" s="6" t="inlineStr">
        <is>
          <t>Fixed income / ABS</t>
        </is>
      </c>
      <c r="E58" s="6" t="inlineStr">
        <is>
          <t>n/a</t>
        </is>
      </c>
      <c r="F58" s="6" t="inlineStr">
        <is>
          <t>n/a</t>
        </is>
      </c>
      <c r="G58" s="6" t="inlineStr">
        <is>
          <t>ABS</t>
        </is>
      </c>
      <c r="H58" s="6" t="inlineStr">
        <is>
          <t>Europe</t>
        </is>
      </c>
      <c r="I58" s="6" t="inlineStr">
        <is>
          <t>No</t>
        </is>
      </c>
      <c r="J58" s="6" t="inlineStr">
        <is>
          <t>Unknown</t>
        </is>
      </c>
      <c r="K58" s="11" t="n">
        <v>0</v>
      </c>
      <c r="L58" s="11" t="n">
        <v>0</v>
      </c>
      <c r="M58" s="11" t="n">
        <v>1</v>
      </c>
      <c r="N58" s="11" t="n">
        <v>1</v>
      </c>
      <c r="O58" s="11" t="n">
        <v>1</v>
      </c>
      <c r="P58" s="11" t="n">
        <v>1</v>
      </c>
      <c r="Q58" s="11" t="n">
        <v>1</v>
      </c>
      <c r="R58" s="12">
        <f>ROUND(SUMPRODUCT(K58:Q58,Scoring_Weights!$E$5:$K$5)/Scoring_Weights!$B$12*20,0)</f>
        <v/>
      </c>
      <c r="S58" s="13">
        <f>IF(R58&gt;=Scoring_Weights!$B$15,"Tier 1",IF(R58&gt;=Scoring_Weights!$B$16,"Tier 2","Tier 3"))</f>
        <v/>
      </c>
      <c r="T58" s="6" t="inlineStr">
        <is>
          <t>Not relevant</t>
        </is>
      </c>
      <c r="U58" s="6" t="inlineStr">
        <is>
          <t>n/a</t>
        </is>
      </c>
      <c r="V58" s="6" t="inlineStr"/>
      <c r="W58" s="6" t="inlineStr">
        <is>
          <t>Cascade map</t>
        </is>
      </c>
    </row>
    <row r="59">
      <c r="A59" s="6" t="inlineStr">
        <is>
          <t>CQS (Manulife)</t>
        </is>
      </c>
      <c r="B59" s="6" t="inlineStr">
        <is>
          <t>Cascade map - AUM US$5-20b</t>
        </is>
      </c>
      <c r="C59" s="6" t="inlineStr">
        <is>
          <t>London</t>
        </is>
      </c>
      <c r="D59" s="6" t="inlineStr">
        <is>
          <t>Multi-strategy credit, ABS</t>
        </is>
      </c>
      <c r="E59" s="6" t="inlineStr">
        <is>
          <t>n/a</t>
        </is>
      </c>
      <c r="F59" s="6" t="inlineStr">
        <is>
          <t>n/a</t>
        </is>
      </c>
      <c r="G59" s="6" t="inlineStr">
        <is>
          <t>Credit</t>
        </is>
      </c>
      <c r="H59" s="6" t="inlineStr">
        <is>
          <t>Europe</t>
        </is>
      </c>
      <c r="I59" s="6" t="inlineStr">
        <is>
          <t>No</t>
        </is>
      </c>
      <c r="J59" s="6" t="inlineStr">
        <is>
          <t>Unknown</t>
        </is>
      </c>
      <c r="K59" s="11" t="n">
        <v>0</v>
      </c>
      <c r="L59" s="11" t="n">
        <v>0</v>
      </c>
      <c r="M59" s="11" t="n">
        <v>2</v>
      </c>
      <c r="N59" s="11" t="n">
        <v>1</v>
      </c>
      <c r="O59" s="11" t="n">
        <v>2</v>
      </c>
      <c r="P59" s="11" t="n">
        <v>1</v>
      </c>
      <c r="Q59" s="11" t="n">
        <v>2</v>
      </c>
      <c r="R59" s="12">
        <f>ROUND(SUMPRODUCT(K59:Q59,Scoring_Weights!$E$5:$K$5)/Scoring_Weights!$B$12*20,0)</f>
        <v/>
      </c>
      <c r="S59" s="13">
        <f>IF(R59&gt;=Scoring_Weights!$B$15,"Tier 1",IF(R59&gt;=Scoring_Weights!$B$16,"Tier 2","Tier 3"))</f>
        <v/>
      </c>
      <c r="T59" s="6" t="inlineStr">
        <is>
          <t>Not relevant</t>
        </is>
      </c>
      <c r="U59" s="6" t="inlineStr">
        <is>
          <t>n/a</t>
        </is>
      </c>
      <c r="V59" s="6" t="inlineStr"/>
      <c r="W59" s="6" t="inlineStr">
        <is>
          <t>Cascade map</t>
        </is>
      </c>
    </row>
    <row r="60">
      <c r="A60" s="6" t="inlineStr">
        <is>
          <t>ArrowMark Partners</t>
        </is>
      </c>
      <c r="B60" s="6" t="inlineStr">
        <is>
          <t>Cascade map - AUM US$5-20b</t>
        </is>
      </c>
      <c r="C60" s="6" t="inlineStr">
        <is>
          <t>Denver</t>
        </is>
      </c>
      <c r="D60" s="6" t="inlineStr">
        <is>
          <t>Bank regulatory capital / credit</t>
        </is>
      </c>
      <c r="E60" s="6" t="inlineStr">
        <is>
          <t>n/a</t>
        </is>
      </c>
      <c r="F60" s="6" t="inlineStr">
        <is>
          <t>n/a</t>
        </is>
      </c>
      <c r="G60" s="6" t="inlineStr">
        <is>
          <t>SRT</t>
        </is>
      </c>
      <c r="H60" s="6" t="inlineStr">
        <is>
          <t>US / Europe</t>
        </is>
      </c>
      <c r="I60" s="6" t="inlineStr">
        <is>
          <t>No</t>
        </is>
      </c>
      <c r="J60" s="6" t="inlineStr">
        <is>
          <t>Unknown</t>
        </is>
      </c>
      <c r="K60" s="11" t="n">
        <v>0</v>
      </c>
      <c r="L60" s="11" t="n">
        <v>0</v>
      </c>
      <c r="M60" s="11" t="n">
        <v>1</v>
      </c>
      <c r="N60" s="11" t="n">
        <v>0</v>
      </c>
      <c r="O60" s="11" t="n">
        <v>1</v>
      </c>
      <c r="P60" s="11" t="n">
        <v>1</v>
      </c>
      <c r="Q60" s="11" t="n">
        <v>1</v>
      </c>
      <c r="R60" s="12">
        <f>ROUND(SUMPRODUCT(K60:Q60,Scoring_Weights!$E$5:$K$5)/Scoring_Weights!$B$12*20,0)</f>
        <v/>
      </c>
      <c r="S60" s="13">
        <f>IF(R60&gt;=Scoring_Weights!$B$15,"Tier 1",IF(R60&gt;=Scoring_Weights!$B$16,"Tier 2","Tier 3"))</f>
        <v/>
      </c>
      <c r="T60" s="6" t="inlineStr">
        <is>
          <t>Not relevant</t>
        </is>
      </c>
      <c r="U60" s="6" t="inlineStr">
        <is>
          <t>n/a</t>
        </is>
      </c>
      <c r="V60" s="6" t="inlineStr"/>
      <c r="W60" s="6" t="inlineStr">
        <is>
          <t>Cascade map</t>
        </is>
      </c>
    </row>
    <row r="61">
      <c r="A61" s="6" t="inlineStr">
        <is>
          <t>Marathon Asset Management</t>
        </is>
      </c>
      <c r="B61" s="6" t="inlineStr">
        <is>
          <t>Cascade map - AUM US$20-100b</t>
        </is>
      </c>
      <c r="C61" s="6" t="inlineStr">
        <is>
          <t>New York / London</t>
        </is>
      </c>
      <c r="D61" s="6" t="inlineStr">
        <is>
          <t>Opportunistic credit, ABF, infrastructure</t>
        </is>
      </c>
      <c r="E61" s="6" t="inlineStr">
        <is>
          <t>n/a</t>
        </is>
      </c>
      <c r="F61" s="6" t="inlineStr">
        <is>
          <t>US$25m+</t>
        </is>
      </c>
      <c r="G61" s="6" t="inlineStr">
        <is>
          <t>Opportunistic</t>
        </is>
      </c>
      <c r="H61" s="6" t="inlineStr">
        <is>
          <t>Global</t>
        </is>
      </c>
      <c r="I61" s="6" t="inlineStr">
        <is>
          <t>Infrastructure credit</t>
        </is>
      </c>
      <c r="J61" s="6" t="inlineStr">
        <is>
          <t>Unknown</t>
        </is>
      </c>
      <c r="K61" s="11" t="n">
        <v>2</v>
      </c>
      <c r="L61" s="11" t="n">
        <v>0</v>
      </c>
      <c r="M61" s="11" t="n">
        <v>2</v>
      </c>
      <c r="N61" s="11" t="n">
        <v>1</v>
      </c>
      <c r="O61" s="11" t="n">
        <v>4</v>
      </c>
      <c r="P61" s="11" t="n">
        <v>1</v>
      </c>
      <c r="Q61" s="11" t="n">
        <v>2</v>
      </c>
      <c r="R61" s="12">
        <f>ROUND(SUMPRODUCT(K61:Q61,Scoring_Weights!$E$5:$K$5)/Scoring_Weights!$B$12*20,0)</f>
        <v/>
      </c>
      <c r="S61" s="13">
        <f>IF(R61&gt;=Scoring_Weights!$B$15,"Tier 1",IF(R61&gt;=Scoring_Weights!$B$16,"Tier 2","Tier 3"))</f>
        <v/>
      </c>
      <c r="T61" s="6" t="inlineStr">
        <is>
          <t>Wave 2</t>
        </is>
      </c>
      <c r="U61" s="6" t="inlineStr">
        <is>
          <t>Cold</t>
        </is>
      </c>
      <c r="V61" s="6" t="inlineStr"/>
      <c r="W61" s="6" t="inlineStr">
        <is>
          <t>Cascade map</t>
        </is>
      </c>
    </row>
    <row r="62">
      <c r="A62" s="6" t="inlineStr">
        <is>
          <t>Sound Point Capital</t>
        </is>
      </c>
      <c r="B62" s="6" t="inlineStr">
        <is>
          <t>Cascade map - AUM US$20-100b</t>
        </is>
      </c>
      <c r="C62" s="6" t="inlineStr">
        <is>
          <t>New York / London</t>
        </is>
      </c>
      <c r="D62" s="6" t="inlineStr">
        <is>
          <t>CLO, structured, direct lending</t>
        </is>
      </c>
      <c r="E62" s="6" t="inlineStr">
        <is>
          <t>n/a</t>
        </is>
      </c>
      <c r="F62" s="6" t="inlineStr">
        <is>
          <t>n/a</t>
        </is>
      </c>
      <c r="G62" s="6" t="inlineStr">
        <is>
          <t>Credit</t>
        </is>
      </c>
      <c r="H62" s="6" t="inlineStr">
        <is>
          <t>US / Europe</t>
        </is>
      </c>
      <c r="I62" s="6" t="inlineStr">
        <is>
          <t>No</t>
        </is>
      </c>
      <c r="J62" s="6" t="inlineStr">
        <is>
          <t>Unknown</t>
        </is>
      </c>
      <c r="K62" s="11" t="n">
        <v>0</v>
      </c>
      <c r="L62" s="11" t="n">
        <v>0</v>
      </c>
      <c r="M62" s="11" t="n">
        <v>1</v>
      </c>
      <c r="N62" s="11" t="n">
        <v>0</v>
      </c>
      <c r="O62" s="11" t="n">
        <v>2</v>
      </c>
      <c r="P62" s="11" t="n">
        <v>1</v>
      </c>
      <c r="Q62" s="11" t="n">
        <v>1</v>
      </c>
      <c r="R62" s="12">
        <f>ROUND(SUMPRODUCT(K62:Q62,Scoring_Weights!$E$5:$K$5)/Scoring_Weights!$B$12*20,0)</f>
        <v/>
      </c>
      <c r="S62" s="13">
        <f>IF(R62&gt;=Scoring_Weights!$B$15,"Tier 1",IF(R62&gt;=Scoring_Weights!$B$16,"Tier 2","Tier 3"))</f>
        <v/>
      </c>
      <c r="T62" s="6" t="inlineStr">
        <is>
          <t>Not relevant</t>
        </is>
      </c>
      <c r="U62" s="6" t="inlineStr">
        <is>
          <t>n/a</t>
        </is>
      </c>
      <c r="V62" s="6" t="inlineStr"/>
      <c r="W62" s="6" t="inlineStr">
        <is>
          <t>Cascade map</t>
        </is>
      </c>
    </row>
    <row r="63">
      <c r="A63" s="6" t="inlineStr">
        <is>
          <t>King Street</t>
        </is>
      </c>
      <c r="B63" s="6" t="inlineStr">
        <is>
          <t>Cascade map - AUM US$20-100b</t>
        </is>
      </c>
      <c r="C63" s="6" t="inlineStr">
        <is>
          <t>New York / London</t>
        </is>
      </c>
      <c r="D63" s="6" t="inlineStr">
        <is>
          <t>Distressed / opportunistic credit, real estate</t>
        </is>
      </c>
      <c r="E63" s="6" t="inlineStr">
        <is>
          <t>n/a</t>
        </is>
      </c>
      <c r="F63" s="6" t="inlineStr">
        <is>
          <t>US$25m+</t>
        </is>
      </c>
      <c r="G63" s="6" t="inlineStr">
        <is>
          <t>Opportunistic</t>
        </is>
      </c>
      <c r="H63" s="6" t="inlineStr">
        <is>
          <t>Global</t>
        </is>
      </c>
      <c r="I63" s="6" t="inlineStr">
        <is>
          <t>Real estate</t>
        </is>
      </c>
      <c r="J63" s="6" t="inlineStr">
        <is>
          <t>Unknown</t>
        </is>
      </c>
      <c r="K63" s="11" t="n">
        <v>1</v>
      </c>
      <c r="L63" s="11" t="n">
        <v>0</v>
      </c>
      <c r="M63" s="11" t="n">
        <v>2</v>
      </c>
      <c r="N63" s="11" t="n">
        <v>1</v>
      </c>
      <c r="O63" s="11" t="n">
        <v>3</v>
      </c>
      <c r="P63" s="11" t="n">
        <v>1</v>
      </c>
      <c r="Q63" s="11" t="n">
        <v>2</v>
      </c>
      <c r="R63" s="12">
        <f>ROUND(SUMPRODUCT(K63:Q63,Scoring_Weights!$E$5:$K$5)/Scoring_Weights!$B$12*20,0)</f>
        <v/>
      </c>
      <c r="S63" s="13">
        <f>IF(R63&gt;=Scoring_Weights!$B$15,"Tier 1",IF(R63&gt;=Scoring_Weights!$B$16,"Tier 2","Tier 3"))</f>
        <v/>
      </c>
      <c r="T63" s="6" t="inlineStr">
        <is>
          <t>Tier 3</t>
        </is>
      </c>
      <c r="U63" s="6" t="inlineStr">
        <is>
          <t>Cold</t>
        </is>
      </c>
      <c r="V63" s="6" t="inlineStr"/>
      <c r="W63" s="6" t="inlineStr">
        <is>
          <t>Cascade map</t>
        </is>
      </c>
    </row>
    <row r="64">
      <c r="A64" s="6" t="inlineStr">
        <is>
          <t>Pemberton Asset Management</t>
        </is>
      </c>
      <c r="B64" s="6" t="inlineStr">
        <is>
          <t>Cascade map - AUM US$20-100b</t>
        </is>
      </c>
      <c r="C64" s="6" t="inlineStr">
        <is>
          <t>London</t>
        </is>
      </c>
      <c r="D64" s="6" t="inlineStr">
        <is>
          <t>MMD IV / Senior Loan €6.1b; NAV Core I</t>
        </is>
      </c>
      <c r="E64" s="6" t="inlineStr">
        <is>
          <t>US$29b</t>
        </is>
      </c>
      <c r="F64" s="6" t="inlineStr">
        <is>
          <t>€30m+</t>
        </is>
      </c>
      <c r="G64" s="6" t="inlineStr">
        <is>
          <t>Senior, NAV</t>
        </is>
      </c>
      <c r="H64" s="6" t="inlineStr">
        <is>
          <t>Europe</t>
        </is>
      </c>
      <c r="I64" s="6" t="inlineStr">
        <is>
          <t>Corporate</t>
        </is>
      </c>
      <c r="J64" s="6" t="inlineStr">
        <is>
          <t>Unknown</t>
        </is>
      </c>
      <c r="K64" s="11" t="n">
        <v>1</v>
      </c>
      <c r="L64" s="11" t="n">
        <v>1</v>
      </c>
      <c r="M64" s="11" t="n">
        <v>2</v>
      </c>
      <c r="N64" s="11" t="n">
        <v>2</v>
      </c>
      <c r="O64" s="11" t="n">
        <v>2</v>
      </c>
      <c r="P64" s="11" t="n">
        <v>1</v>
      </c>
      <c r="Q64" s="11" t="n">
        <v>2</v>
      </c>
      <c r="R64" s="12">
        <f>ROUND(SUMPRODUCT(K64:Q64,Scoring_Weights!$E$5:$K$5)/Scoring_Weights!$B$12*20,0)</f>
        <v/>
      </c>
      <c r="S64" s="13">
        <f>IF(R64&gt;=Scoring_Weights!$B$15,"Tier 1",IF(R64&gt;=Scoring_Weights!$B$16,"Tier 2","Tier 3"))</f>
        <v/>
      </c>
      <c r="T64" s="6" t="inlineStr">
        <is>
          <t>Tier 3</t>
        </is>
      </c>
      <c r="U64" s="6" t="inlineStr">
        <is>
          <t>Cold</t>
        </is>
      </c>
      <c r="V64" s="6" t="inlineStr"/>
      <c r="W64" s="6" t="inlineStr">
        <is>
          <t>creditflux</t>
        </is>
      </c>
    </row>
    <row r="65">
      <c r="A65" s="6" t="inlineStr">
        <is>
          <t>Hayfin Capital Management</t>
        </is>
      </c>
      <c r="B65" s="6" t="inlineStr">
        <is>
          <t>Cascade map - AUM US$20-100b</t>
        </is>
      </c>
      <c r="C65" s="6" t="inlineStr">
        <is>
          <t>London / Madrid / Milan / Paris</t>
        </is>
      </c>
      <c r="D65" s="6" t="inlineStr">
        <is>
          <t>DLF V &gt;€15b (Jul 2026); Special Opportunities; maritime and hard-asset lending</t>
        </is>
      </c>
      <c r="E65" s="6" t="inlineStr">
        <is>
          <t>&gt;€15b</t>
        </is>
      </c>
      <c r="F65" s="6" t="inlineStr">
        <is>
          <t>€20m to €150m (Special Opps)</t>
        </is>
      </c>
      <c r="G65" s="6" t="inlineStr">
        <is>
          <t>Senior DL, special opps, hard-asset lending</t>
        </is>
      </c>
      <c r="H65" s="6" t="inlineStr">
        <is>
          <t>Iberia / Italy offices; Greek shipping via maritime desk [K]</t>
        </is>
      </c>
      <c r="I65" s="6" t="inlineStr">
        <is>
          <t>Hard-asset DNA (shipping, aviation); FOAK not yet</t>
        </is>
      </c>
      <c r="J65" s="6" t="inlineStr">
        <is>
          <t>Unknown</t>
        </is>
      </c>
      <c r="K65" s="11" t="n">
        <v>4</v>
      </c>
      <c r="L65" s="11" t="n">
        <v>1</v>
      </c>
      <c r="M65" s="11" t="n">
        <v>3</v>
      </c>
      <c r="N65" s="11" t="n">
        <v>3</v>
      </c>
      <c r="O65" s="11" t="n">
        <v>4</v>
      </c>
      <c r="P65" s="11" t="n">
        <v>1</v>
      </c>
      <c r="Q65" s="11" t="n">
        <v>2</v>
      </c>
      <c r="R65" s="12">
        <f>ROUND(SUMPRODUCT(K65:Q65,Scoring_Weights!$E$5:$K$5)/Scoring_Weights!$B$12*20,0)</f>
        <v/>
      </c>
      <c r="S65" s="13">
        <f>IF(R65&gt;=Scoring_Weights!$B$15,"Tier 1",IF(R65&gt;=Scoring_Weights!$B$16,"Tier 2","Tier 3"))</f>
        <v/>
      </c>
      <c r="T65" s="6" t="inlineStr">
        <is>
          <t>Wave 1 - Special Opportunities: €20m to €40m structured tranche once EPC price, TDD and Credia approval are in hand</t>
        </is>
      </c>
      <c r="U65" s="6" t="inlineStr">
        <is>
          <t>LinkedIn first</t>
        </is>
      </c>
      <c r="V65" s="6" t="inlineStr"/>
      <c r="W65" s="6" t="inlineStr">
        <is>
          <t>hayfin.com; agent screen</t>
        </is>
      </c>
    </row>
    <row r="66">
      <c r="A66" s="6" t="inlineStr">
        <is>
          <t>Brigade Capital</t>
        </is>
      </c>
      <c r="B66" s="6" t="inlineStr">
        <is>
          <t>Cascade map - AUM US$20-100b</t>
        </is>
      </c>
      <c r="C66" s="6" t="inlineStr">
        <is>
          <t>New York / London</t>
        </is>
      </c>
      <c r="D66" s="6" t="inlineStr">
        <is>
          <t>Credit, structured, CLO</t>
        </is>
      </c>
      <c r="E66" s="6" t="inlineStr">
        <is>
          <t>n/a</t>
        </is>
      </c>
      <c r="F66" s="6" t="inlineStr">
        <is>
          <t>n/a</t>
        </is>
      </c>
      <c r="G66" s="6" t="inlineStr">
        <is>
          <t>Credit</t>
        </is>
      </c>
      <c r="H66" s="6" t="inlineStr">
        <is>
          <t>Global</t>
        </is>
      </c>
      <c r="I66" s="6" t="inlineStr">
        <is>
          <t>No</t>
        </is>
      </c>
      <c r="J66" s="6" t="inlineStr">
        <is>
          <t>Unknown</t>
        </is>
      </c>
      <c r="K66" s="11" t="n">
        <v>0</v>
      </c>
      <c r="L66" s="11" t="n">
        <v>0</v>
      </c>
      <c r="M66" s="11" t="n">
        <v>1</v>
      </c>
      <c r="N66" s="11" t="n">
        <v>0</v>
      </c>
      <c r="O66" s="11" t="n">
        <v>2</v>
      </c>
      <c r="P66" s="11" t="n">
        <v>1</v>
      </c>
      <c r="Q66" s="11" t="n">
        <v>1</v>
      </c>
      <c r="R66" s="12">
        <f>ROUND(SUMPRODUCT(K66:Q66,Scoring_Weights!$E$5:$K$5)/Scoring_Weights!$B$12*20,0)</f>
        <v/>
      </c>
      <c r="S66" s="13">
        <f>IF(R66&gt;=Scoring_Weights!$B$15,"Tier 1",IF(R66&gt;=Scoring_Weights!$B$16,"Tier 2","Tier 3"))</f>
        <v/>
      </c>
      <c r="T66" s="6" t="inlineStr">
        <is>
          <t>Not relevant</t>
        </is>
      </c>
      <c r="U66" s="6" t="inlineStr">
        <is>
          <t>n/a</t>
        </is>
      </c>
      <c r="V66" s="6" t="inlineStr"/>
      <c r="W66" s="6" t="inlineStr">
        <is>
          <t>Cascade map</t>
        </is>
      </c>
    </row>
    <row r="67">
      <c r="A67" s="6" t="inlineStr">
        <is>
          <t>Canyon Partners</t>
        </is>
      </c>
      <c r="B67" s="6" t="inlineStr">
        <is>
          <t>Cascade map - AUM US$20-100b</t>
        </is>
      </c>
      <c r="C67" s="6" t="inlineStr">
        <is>
          <t>Los Angeles / London</t>
        </is>
      </c>
      <c r="D67" s="6" t="inlineStr">
        <is>
          <t>Distressed / opportunistic</t>
        </is>
      </c>
      <c r="E67" s="6" t="inlineStr">
        <is>
          <t>n/a</t>
        </is>
      </c>
      <c r="F67" s="6" t="inlineStr">
        <is>
          <t>US$25m+</t>
        </is>
      </c>
      <c r="G67" s="6" t="inlineStr">
        <is>
          <t>Opportunistic</t>
        </is>
      </c>
      <c r="H67" s="6" t="inlineStr">
        <is>
          <t>Global</t>
        </is>
      </c>
      <c r="I67" s="6" t="inlineStr">
        <is>
          <t>No</t>
        </is>
      </c>
      <c r="J67" s="6" t="inlineStr">
        <is>
          <t>Unknown</t>
        </is>
      </c>
      <c r="K67" s="11" t="n">
        <v>1</v>
      </c>
      <c r="L67" s="11" t="n">
        <v>0</v>
      </c>
      <c r="M67" s="11" t="n">
        <v>2</v>
      </c>
      <c r="N67" s="11" t="n">
        <v>0</v>
      </c>
      <c r="O67" s="11" t="n">
        <v>3</v>
      </c>
      <c r="P67" s="11" t="n">
        <v>1</v>
      </c>
      <c r="Q67" s="11" t="n">
        <v>2</v>
      </c>
      <c r="R67" s="12">
        <f>ROUND(SUMPRODUCT(K67:Q67,Scoring_Weights!$E$5:$K$5)/Scoring_Weights!$B$12*20,0)</f>
        <v/>
      </c>
      <c r="S67" s="13">
        <f>IF(R67&gt;=Scoring_Weights!$B$15,"Tier 1",IF(R67&gt;=Scoring_Weights!$B$16,"Tier 2","Tier 3"))</f>
        <v/>
      </c>
      <c r="T67" s="6" t="inlineStr">
        <is>
          <t>Tier 3</t>
        </is>
      </c>
      <c r="U67" s="6" t="inlineStr">
        <is>
          <t>Cold</t>
        </is>
      </c>
      <c r="V67" s="6" t="inlineStr"/>
      <c r="W67" s="6" t="inlineStr">
        <is>
          <t>Cascade map</t>
        </is>
      </c>
    </row>
    <row r="68">
      <c r="A68" s="6" t="inlineStr">
        <is>
          <t>Palmer Square</t>
        </is>
      </c>
      <c r="B68" s="6" t="inlineStr">
        <is>
          <t>Cascade map - AUM US$20-100b</t>
        </is>
      </c>
      <c r="C68" s="6" t="inlineStr">
        <is>
          <t>Kansas City / London</t>
        </is>
      </c>
      <c r="D68" s="6" t="inlineStr">
        <is>
          <t>CLO, structured</t>
        </is>
      </c>
      <c r="E68" s="6" t="inlineStr">
        <is>
          <t>n/a</t>
        </is>
      </c>
      <c r="F68" s="6" t="inlineStr">
        <is>
          <t>n/a</t>
        </is>
      </c>
      <c r="G68" s="6" t="inlineStr">
        <is>
          <t>CLO</t>
        </is>
      </c>
      <c r="H68" s="6" t="inlineStr">
        <is>
          <t>US / Europe</t>
        </is>
      </c>
      <c r="I68" s="6" t="inlineStr">
        <is>
          <t>No</t>
        </is>
      </c>
      <c r="J68" s="6" t="inlineStr">
        <is>
          <t>Unknown</t>
        </is>
      </c>
      <c r="K68" s="11" t="n">
        <v>0</v>
      </c>
      <c r="L68" s="11" t="n">
        <v>0</v>
      </c>
      <c r="M68" s="11" t="n">
        <v>1</v>
      </c>
      <c r="N68" s="11" t="n">
        <v>0</v>
      </c>
      <c r="O68" s="11" t="n">
        <v>1</v>
      </c>
      <c r="P68" s="11" t="n">
        <v>1</v>
      </c>
      <c r="Q68" s="11" t="n">
        <v>1</v>
      </c>
      <c r="R68" s="12">
        <f>ROUND(SUMPRODUCT(K68:Q68,Scoring_Weights!$E$5:$K$5)/Scoring_Weights!$B$12*20,0)</f>
        <v/>
      </c>
      <c r="S68" s="13">
        <f>IF(R68&gt;=Scoring_Weights!$B$15,"Tier 1",IF(R68&gt;=Scoring_Weights!$B$16,"Tier 2","Tier 3"))</f>
        <v/>
      </c>
      <c r="T68" s="6" t="inlineStr">
        <is>
          <t>Not relevant</t>
        </is>
      </c>
      <c r="U68" s="6" t="inlineStr">
        <is>
          <t>n/a</t>
        </is>
      </c>
      <c r="V68" s="6" t="inlineStr"/>
      <c r="W68" s="6" t="inlineStr">
        <is>
          <t>Cascade map</t>
        </is>
      </c>
    </row>
    <row r="69">
      <c r="A69" s="6" t="inlineStr">
        <is>
          <t>Castlelake</t>
        </is>
      </c>
      <c r="B69" s="6" t="inlineStr">
        <is>
          <t>Cascade map - AUM US$20-100b</t>
        </is>
      </c>
      <c r="C69" s="6" t="inlineStr">
        <is>
          <t>Minneapolis / London</t>
        </is>
      </c>
      <c r="D69" s="6" t="inlineStr">
        <is>
          <t>Asset-based private credit; aviation, real assets, specialty finance</t>
        </is>
      </c>
      <c r="E69" s="6" t="inlineStr">
        <is>
          <t>n/a</t>
        </is>
      </c>
      <c r="F69" s="6" t="inlineStr">
        <is>
          <t>US$25m to US$300m</t>
        </is>
      </c>
      <c r="G69" s="6" t="inlineStr">
        <is>
          <t>Real-asset ABL</t>
        </is>
      </c>
      <c r="H69" s="6" t="inlineStr">
        <is>
          <t>Global incl. Europe</t>
        </is>
      </c>
      <c r="I69" s="6" t="inlineStr">
        <is>
          <t>Hard-asset lending is the core skill</t>
        </is>
      </c>
      <c r="J69" s="6" t="inlineStr">
        <is>
          <t>Unknown</t>
        </is>
      </c>
      <c r="K69" s="11" t="n">
        <v>3</v>
      </c>
      <c r="L69" s="11" t="n">
        <v>0</v>
      </c>
      <c r="M69" s="11" t="n">
        <v>2</v>
      </c>
      <c r="N69" s="11" t="n">
        <v>1</v>
      </c>
      <c r="O69" s="11" t="n">
        <v>4</v>
      </c>
      <c r="P69" s="11" t="n">
        <v>1</v>
      </c>
      <c r="Q69" s="11" t="n">
        <v>2</v>
      </c>
      <c r="R69" s="12">
        <f>ROUND(SUMPRODUCT(K69:Q69,Scoring_Weights!$E$5:$K$5)/Scoring_Weights!$B$12*20,0)</f>
        <v/>
      </c>
      <c r="S69" s="13">
        <f>IF(R69&gt;=Scoring_Weights!$B$15,"Tier 1",IF(R69&gt;=Scoring_Weights!$B$16,"Tier 2","Tier 3"))</f>
        <v/>
      </c>
      <c r="T69" s="6" t="inlineStr">
        <is>
          <t>Wave 2 - real-asset team at FID (equipment-backed)</t>
        </is>
      </c>
      <c r="U69" s="6" t="inlineStr">
        <is>
          <t>Cold</t>
        </is>
      </c>
      <c r="V69" s="6" t="inlineStr"/>
      <c r="W69" s="6" t="inlineStr">
        <is>
          <t>Cascade map</t>
        </is>
      </c>
    </row>
    <row r="70">
      <c r="A70" s="6" t="inlineStr">
        <is>
          <t>Coller Capital (Credit Secondaries)</t>
        </is>
      </c>
      <c r="B70" s="6" t="inlineStr">
        <is>
          <t>Cascade map - AUM US$20-100b</t>
        </is>
      </c>
      <c r="C70" s="6" t="inlineStr">
        <is>
          <t>London</t>
        </is>
      </c>
      <c r="D70" s="6" t="inlineStr">
        <is>
          <t>Credit secondaries</t>
        </is>
      </c>
      <c r="E70" s="6" t="inlineStr">
        <is>
          <t>n/a</t>
        </is>
      </c>
      <c r="F70" s="6" t="inlineStr">
        <is>
          <t>US$25m+</t>
        </is>
      </c>
      <c r="G70" s="6" t="inlineStr">
        <is>
          <t>Secondaries</t>
        </is>
      </c>
      <c r="H70" s="6" t="inlineStr">
        <is>
          <t>Global</t>
        </is>
      </c>
      <c r="I70" s="6" t="inlineStr">
        <is>
          <t>No</t>
        </is>
      </c>
      <c r="J70" s="6" t="inlineStr">
        <is>
          <t>Unknown</t>
        </is>
      </c>
      <c r="K70" s="11" t="n">
        <v>0</v>
      </c>
      <c r="L70" s="11" t="n">
        <v>0</v>
      </c>
      <c r="M70" s="11" t="n">
        <v>1</v>
      </c>
      <c r="N70" s="11" t="n">
        <v>0</v>
      </c>
      <c r="O70" s="11" t="n">
        <v>1</v>
      </c>
      <c r="P70" s="11" t="n">
        <v>1</v>
      </c>
      <c r="Q70" s="11" t="n">
        <v>1</v>
      </c>
      <c r="R70" s="12">
        <f>ROUND(SUMPRODUCT(K70:Q70,Scoring_Weights!$E$5:$K$5)/Scoring_Weights!$B$12*20,0)</f>
        <v/>
      </c>
      <c r="S70" s="13">
        <f>IF(R70&gt;=Scoring_Weights!$B$15,"Tier 1",IF(R70&gt;=Scoring_Weights!$B$16,"Tier 2","Tier 3"))</f>
        <v/>
      </c>
      <c r="T70" s="6" t="inlineStr">
        <is>
          <t>Not relevant</t>
        </is>
      </c>
      <c r="U70" s="6" t="inlineStr">
        <is>
          <t>n/a</t>
        </is>
      </c>
      <c r="V70" s="6" t="inlineStr"/>
      <c r="W70" s="6" t="inlineStr">
        <is>
          <t>Cascade map</t>
        </is>
      </c>
    </row>
    <row r="71">
      <c r="A71" s="6" t="inlineStr">
        <is>
          <t>Carmignac</t>
        </is>
      </c>
      <c r="B71" s="6" t="inlineStr">
        <is>
          <t>Cascade map - AUM US$20-100b</t>
        </is>
      </c>
      <c r="C71" s="6" t="inlineStr">
        <is>
          <t>Paris</t>
        </is>
      </c>
      <c r="D71" s="6" t="inlineStr">
        <is>
          <t>Private credit / ABF strategy (new)</t>
        </is>
      </c>
      <c r="E71" s="6" t="inlineStr">
        <is>
          <t>n/a</t>
        </is>
      </c>
      <c r="F71" s="6" t="inlineStr">
        <is>
          <t>€10m+</t>
        </is>
      </c>
      <c r="G71" s="6" t="inlineStr">
        <is>
          <t>Credit</t>
        </is>
      </c>
      <c r="H71" s="6" t="inlineStr">
        <is>
          <t>Europe</t>
        </is>
      </c>
      <c r="I71" s="6" t="inlineStr">
        <is>
          <t>No</t>
        </is>
      </c>
      <c r="J71" s="6" t="inlineStr">
        <is>
          <t>Unknown</t>
        </is>
      </c>
      <c r="K71" s="11" t="n">
        <v>1</v>
      </c>
      <c r="L71" s="11" t="n">
        <v>0</v>
      </c>
      <c r="M71" s="11" t="n">
        <v>3</v>
      </c>
      <c r="N71" s="11" t="n">
        <v>1</v>
      </c>
      <c r="O71" s="11" t="n">
        <v>2</v>
      </c>
      <c r="P71" s="11" t="n">
        <v>1</v>
      </c>
      <c r="Q71" s="11" t="n">
        <v>2</v>
      </c>
      <c r="R71" s="12">
        <f>ROUND(SUMPRODUCT(K71:Q71,Scoring_Weights!$E$5:$K$5)/Scoring_Weights!$B$12*20,0)</f>
        <v/>
      </c>
      <c r="S71" s="13">
        <f>IF(R71&gt;=Scoring_Weights!$B$15,"Tier 1",IF(R71&gt;=Scoring_Weights!$B$16,"Tier 2","Tier 3"))</f>
        <v/>
      </c>
      <c r="T71" s="6" t="inlineStr">
        <is>
          <t>Tier 3</t>
        </is>
      </c>
      <c r="U71" s="6" t="inlineStr">
        <is>
          <t>Cold</t>
        </is>
      </c>
      <c r="V71" s="6" t="inlineStr"/>
      <c r="W71" s="6" t="inlineStr">
        <is>
          <t>Cascade map</t>
        </is>
      </c>
    </row>
    <row r="72">
      <c r="A72" s="6" t="inlineStr">
        <is>
          <t>Sculptor Capital (Rithm)</t>
        </is>
      </c>
      <c r="B72" s="6" t="inlineStr">
        <is>
          <t>Cascade map - AUM US$20-100b</t>
        </is>
      </c>
      <c r="C72" s="6" t="inlineStr">
        <is>
          <t>New York / London</t>
        </is>
      </c>
      <c r="D72" s="6" t="inlineStr">
        <is>
          <t>Opportunistic credit, real estate</t>
        </is>
      </c>
      <c r="E72" s="6" t="inlineStr">
        <is>
          <t>n/a</t>
        </is>
      </c>
      <c r="F72" s="6" t="inlineStr">
        <is>
          <t>US$25m+</t>
        </is>
      </c>
      <c r="G72" s="6" t="inlineStr">
        <is>
          <t>Opportunistic</t>
        </is>
      </c>
      <c r="H72" s="6" t="inlineStr">
        <is>
          <t>Global</t>
        </is>
      </c>
      <c r="I72" s="6" t="inlineStr">
        <is>
          <t>Real estate</t>
        </is>
      </c>
      <c r="J72" s="6" t="inlineStr">
        <is>
          <t>Unknown</t>
        </is>
      </c>
      <c r="K72" s="11" t="n">
        <v>1</v>
      </c>
      <c r="L72" s="11" t="n">
        <v>0</v>
      </c>
      <c r="M72" s="11" t="n">
        <v>2</v>
      </c>
      <c r="N72" s="11" t="n">
        <v>0</v>
      </c>
      <c r="O72" s="11" t="n">
        <v>3</v>
      </c>
      <c r="P72" s="11" t="n">
        <v>1</v>
      </c>
      <c r="Q72" s="11" t="n">
        <v>2</v>
      </c>
      <c r="R72" s="12">
        <f>ROUND(SUMPRODUCT(K72:Q72,Scoring_Weights!$E$5:$K$5)/Scoring_Weights!$B$12*20,0)</f>
        <v/>
      </c>
      <c r="S72" s="13">
        <f>IF(R72&gt;=Scoring_Weights!$B$15,"Tier 1",IF(R72&gt;=Scoring_Weights!$B$16,"Tier 2","Tier 3"))</f>
        <v/>
      </c>
      <c r="T72" s="6" t="inlineStr">
        <is>
          <t>Tier 3</t>
        </is>
      </c>
      <c r="U72" s="6" t="inlineStr">
        <is>
          <t>Cold</t>
        </is>
      </c>
      <c r="V72" s="6" t="inlineStr"/>
      <c r="W72" s="6" t="inlineStr">
        <is>
          <t>Cascade map</t>
        </is>
      </c>
    </row>
    <row r="73">
      <c r="A73" s="6" t="inlineStr">
        <is>
          <t>Davidson Kempner</t>
        </is>
      </c>
      <c r="B73" s="6" t="inlineStr">
        <is>
          <t>Cascade map - AUM US$20-100b</t>
        </is>
      </c>
      <c r="C73" s="6" t="inlineStr">
        <is>
          <t>New York / London</t>
        </is>
      </c>
      <c r="D73" s="6" t="inlineStr">
        <is>
          <t>Special situations; owns Cepal (Greek servicer)</t>
        </is>
      </c>
      <c r="E73" s="6" t="inlineStr">
        <is>
          <t>n/a</t>
        </is>
      </c>
      <c r="F73" s="6" t="inlineStr">
        <is>
          <t>€25m+</t>
        </is>
      </c>
      <c r="G73" s="6" t="inlineStr">
        <is>
          <t>Opportunistic, ABF</t>
        </is>
      </c>
      <c r="H73" s="6" t="inlineStr">
        <is>
          <t>Deep Greek presence</t>
        </is>
      </c>
      <c r="I73" s="6" t="inlineStr">
        <is>
          <t>Real assets</t>
        </is>
      </c>
      <c r="J73" s="6" t="inlineStr">
        <is>
          <t>Unknown</t>
        </is>
      </c>
      <c r="K73" s="11" t="n">
        <v>3</v>
      </c>
      <c r="L73" s="11" t="n">
        <v>0</v>
      </c>
      <c r="M73" s="11" t="n">
        <v>3</v>
      </c>
      <c r="N73" s="11" t="n">
        <v>5</v>
      </c>
      <c r="O73" s="11" t="n">
        <v>4</v>
      </c>
      <c r="P73" s="11" t="n">
        <v>1</v>
      </c>
      <c r="Q73" s="11" t="n">
        <v>2</v>
      </c>
      <c r="R73" s="12">
        <f>ROUND(SUMPRODUCT(K73:Q73,Scoring_Weights!$E$5:$K$5)/Scoring_Weights!$B$12*20,0)</f>
        <v/>
      </c>
      <c r="S73" s="13">
        <f>IF(R73&gt;=Scoring_Weights!$B$15,"Tier 1",IF(R73&gt;=Scoring_Weights!$B$16,"Tier 2","Tier 3"))</f>
        <v/>
      </c>
      <c r="T73" s="6" t="inlineStr">
        <is>
          <t>Wave 2 - Greek team</t>
        </is>
      </c>
      <c r="U73" s="6" t="inlineStr">
        <is>
          <t>Cold - Greek team</t>
        </is>
      </c>
      <c r="V73" s="6" t="inlineStr"/>
      <c r="W73" s="6" t="inlineStr">
        <is>
          <t>hellaz.eu</t>
        </is>
      </c>
    </row>
    <row r="74">
      <c r="A74" s="6" t="inlineStr">
        <is>
          <t>Muzinich &amp; Co</t>
        </is>
      </c>
      <c r="B74" s="6" t="inlineStr">
        <is>
          <t>Cascade map - AUM US$20-100b</t>
        </is>
      </c>
      <c r="C74" s="6" t="inlineStr">
        <is>
          <t>London / Milan / Madrid</t>
        </is>
      </c>
      <c r="D74" s="6" t="inlineStr">
        <is>
          <t>Pan-European private debt; parallel lending</t>
        </is>
      </c>
      <c r="E74" s="6" t="inlineStr">
        <is>
          <t>US$38b</t>
        </is>
      </c>
      <c r="F74" s="6" t="inlineStr">
        <is>
          <t>€5m to €30m</t>
        </is>
      </c>
      <c r="G74" s="6" t="inlineStr">
        <is>
          <t>Senior / unitranche</t>
        </is>
      </c>
      <c r="H74" s="6" t="inlineStr">
        <is>
          <t>Southern Europe (no Greek office)</t>
        </is>
      </c>
      <c r="I74" s="6" t="inlineStr">
        <is>
          <t>No</t>
        </is>
      </c>
      <c r="J74" s="6" t="inlineStr">
        <is>
          <t>Unknown</t>
        </is>
      </c>
      <c r="K74" s="11" t="n">
        <v>2</v>
      </c>
      <c r="L74" s="11" t="n">
        <v>2</v>
      </c>
      <c r="M74" s="11" t="n">
        <v>5</v>
      </c>
      <c r="N74" s="11" t="n">
        <v>2</v>
      </c>
      <c r="O74" s="11" t="n">
        <v>2</v>
      </c>
      <c r="P74" s="11" t="n">
        <v>1</v>
      </c>
      <c r="Q74" s="11" t="n">
        <v>3</v>
      </c>
      <c r="R74" s="12">
        <f>ROUND(SUMPRODUCT(K74:Q74,Scoring_Weights!$E$5:$K$5)/Scoring_Weights!$B$12*20,0)</f>
        <v/>
      </c>
      <c r="S74" s="13">
        <f>IF(R74&gt;=Scoring_Weights!$B$15,"Tier 1",IF(R74&gt;=Scoring_Weights!$B$16,"Tier 2","Tier 3"))</f>
        <v/>
      </c>
      <c r="T74" s="6" t="inlineStr">
        <is>
          <t>Wave 2 - Curity growth line</t>
        </is>
      </c>
      <c r="U74" s="6" t="inlineStr">
        <is>
          <t>Cold</t>
        </is>
      </c>
      <c r="V74" s="6" t="inlineStr"/>
      <c r="W74" s="6" t="inlineStr">
        <is>
          <t>muzinich.com</t>
        </is>
      </c>
    </row>
    <row r="75">
      <c r="A75" s="6" t="inlineStr">
        <is>
          <t>Fortress Investment Group</t>
        </is>
      </c>
      <c r="B75" s="6" t="inlineStr">
        <is>
          <t>Cascade map - AUM US$20-100b</t>
        </is>
      </c>
      <c r="C75" s="6" t="inlineStr">
        <is>
          <t>New York / London</t>
        </is>
      </c>
      <c r="D75" s="6" t="inlineStr">
        <is>
          <t>Opportunistic, ABF; Greek NPLs</t>
        </is>
      </c>
      <c r="E75" s="6" t="inlineStr">
        <is>
          <t>n/a</t>
        </is>
      </c>
      <c r="F75" s="6" t="inlineStr">
        <is>
          <t>€25m+</t>
        </is>
      </c>
      <c r="G75" s="6" t="inlineStr">
        <is>
          <t>Opportunistic</t>
        </is>
      </c>
      <c r="H75" s="6" t="inlineStr">
        <is>
          <t>Greek NPL platforms</t>
        </is>
      </c>
      <c r="I75" s="6" t="inlineStr">
        <is>
          <t>Real assets</t>
        </is>
      </c>
      <c r="J75" s="6" t="inlineStr">
        <is>
          <t>Unknown</t>
        </is>
      </c>
      <c r="K75" s="11" t="n">
        <v>3</v>
      </c>
      <c r="L75" s="11" t="n">
        <v>0</v>
      </c>
      <c r="M75" s="11" t="n">
        <v>2</v>
      </c>
      <c r="N75" s="11" t="n">
        <v>4</v>
      </c>
      <c r="O75" s="11" t="n">
        <v>4</v>
      </c>
      <c r="P75" s="11" t="n">
        <v>1</v>
      </c>
      <c r="Q75" s="11" t="n">
        <v>2</v>
      </c>
      <c r="R75" s="12">
        <f>ROUND(SUMPRODUCT(K75:Q75,Scoring_Weights!$E$5:$K$5)/Scoring_Weights!$B$12*20,0)</f>
        <v/>
      </c>
      <c r="S75" s="13">
        <f>IF(R75&gt;=Scoring_Weights!$B$15,"Tier 1",IF(R75&gt;=Scoring_Weights!$B$16,"Tier 2","Tier 3"))</f>
        <v/>
      </c>
      <c r="T75" s="6" t="inlineStr">
        <is>
          <t>IVP-level</t>
        </is>
      </c>
      <c r="U75" s="6" t="inlineStr">
        <is>
          <t>Cold</t>
        </is>
      </c>
      <c r="V75" s="6" t="inlineStr"/>
      <c r="W75" s="6" t="inlineStr">
        <is>
          <t>Bloomberg Law</t>
        </is>
      </c>
    </row>
    <row r="76">
      <c r="A76" s="6" t="inlineStr">
        <is>
          <t>Tikehau Capital</t>
        </is>
      </c>
      <c r="B76" s="6" t="inlineStr">
        <is>
          <t>Cascade map - AUM US$20-100b</t>
        </is>
      </c>
      <c r="C76" s="6" t="inlineStr">
        <is>
          <t>Paris</t>
        </is>
      </c>
      <c r="D76" s="6" t="inlineStr">
        <is>
          <t>DL VI €5.2b; special sits €1b+; decarbonisation</t>
        </is>
      </c>
      <c r="E76" s="6" t="inlineStr">
        <is>
          <t>€5.2b</t>
        </is>
      </c>
      <c r="F76" s="6" t="inlineStr">
        <is>
          <t>€20m+</t>
        </is>
      </c>
      <c r="G76" s="6" t="inlineStr">
        <is>
          <t>Senior, special sits</t>
        </is>
      </c>
      <c r="H76" s="6" t="inlineStr">
        <is>
          <t>Southern Europe</t>
        </is>
      </c>
      <c r="I76" s="6" t="inlineStr">
        <is>
          <t>Decarbonisation strategy</t>
        </is>
      </c>
      <c r="J76" s="6" t="inlineStr">
        <is>
          <t>Unknown</t>
        </is>
      </c>
      <c r="K76" s="11" t="n">
        <v>3</v>
      </c>
      <c r="L76" s="11" t="n">
        <v>1</v>
      </c>
      <c r="M76" s="11" t="n">
        <v>3</v>
      </c>
      <c r="N76" s="11" t="n">
        <v>3</v>
      </c>
      <c r="O76" s="11" t="n">
        <v>3</v>
      </c>
      <c r="P76" s="11" t="n">
        <v>1</v>
      </c>
      <c r="Q76" s="11" t="n">
        <v>2</v>
      </c>
      <c r="R76" s="12">
        <f>ROUND(SUMPRODUCT(K76:Q76,Scoring_Weights!$E$5:$K$5)/Scoring_Weights!$B$12*20,0)</f>
        <v/>
      </c>
      <c r="S76" s="13">
        <f>IF(R76&gt;=Scoring_Weights!$B$15,"Tier 1",IF(R76&gt;=Scoring_Weights!$B$16,"Tier 2","Tier 3"))</f>
        <v/>
      </c>
      <c r="T76" s="6" t="inlineStr">
        <is>
          <t>Wave 2 - Special Opportunities / Decarbonisation</t>
        </is>
      </c>
      <c r="U76" s="6" t="inlineStr">
        <is>
          <t>LinkedIn first</t>
        </is>
      </c>
      <c r="V76" s="6" t="inlineStr"/>
      <c r="W76" s="6" t="inlineStr">
        <is>
          <t>ACI 24-07-2026</t>
        </is>
      </c>
    </row>
    <row r="77">
      <c r="A77" s="6" t="inlineStr">
        <is>
          <t>GoldenTree Asset Management</t>
        </is>
      </c>
      <c r="B77" s="6" t="inlineStr">
        <is>
          <t>Cascade map - AUM US$20-100b</t>
        </is>
      </c>
      <c r="C77" s="6" t="inlineStr">
        <is>
          <t>New York / London</t>
        </is>
      </c>
      <c r="D77" s="6" t="inlineStr">
        <is>
          <t>Credit, distressed</t>
        </is>
      </c>
      <c r="E77" s="6" t="inlineStr">
        <is>
          <t>n/a</t>
        </is>
      </c>
      <c r="F77" s="6" t="inlineStr">
        <is>
          <t>US$25m+</t>
        </is>
      </c>
      <c r="G77" s="6" t="inlineStr">
        <is>
          <t>Credit</t>
        </is>
      </c>
      <c r="H77" s="6" t="inlineStr">
        <is>
          <t>Global</t>
        </is>
      </c>
      <c r="I77" s="6" t="inlineStr">
        <is>
          <t>No</t>
        </is>
      </c>
      <c r="J77" s="6" t="inlineStr">
        <is>
          <t>Unknown</t>
        </is>
      </c>
      <c r="K77" s="11" t="n">
        <v>1</v>
      </c>
      <c r="L77" s="11" t="n">
        <v>0</v>
      </c>
      <c r="M77" s="11" t="n">
        <v>2</v>
      </c>
      <c r="N77" s="11" t="n">
        <v>0</v>
      </c>
      <c r="O77" s="11" t="n">
        <v>3</v>
      </c>
      <c r="P77" s="11" t="n">
        <v>1</v>
      </c>
      <c r="Q77" s="11" t="n">
        <v>2</v>
      </c>
      <c r="R77" s="12">
        <f>ROUND(SUMPRODUCT(K77:Q77,Scoring_Weights!$E$5:$K$5)/Scoring_Weights!$B$12*20,0)</f>
        <v/>
      </c>
      <c r="S77" s="13">
        <f>IF(R77&gt;=Scoring_Weights!$B$15,"Tier 1",IF(R77&gt;=Scoring_Weights!$B$16,"Tier 2","Tier 3"))</f>
        <v/>
      </c>
      <c r="T77" s="6" t="inlineStr">
        <is>
          <t>Tier 3</t>
        </is>
      </c>
      <c r="U77" s="6" t="inlineStr">
        <is>
          <t>Cold</t>
        </is>
      </c>
      <c r="V77" s="6" t="inlineStr"/>
      <c r="W77" s="6" t="inlineStr">
        <is>
          <t>Cascade map</t>
        </is>
      </c>
    </row>
    <row r="78">
      <c r="A78" s="6" t="inlineStr">
        <is>
          <t>Investcorp</t>
        </is>
      </c>
      <c r="B78" s="6" t="inlineStr">
        <is>
          <t>Cascade map - AUM US$20-100b</t>
        </is>
      </c>
      <c r="C78" s="6" t="inlineStr">
        <is>
          <t>Bahrain / London</t>
        </is>
      </c>
      <c r="D78" s="6" t="inlineStr">
        <is>
          <t>Credit, infrastructure (Gulf), private equity</t>
        </is>
      </c>
      <c r="E78" s="6" t="inlineStr">
        <is>
          <t>n/a</t>
        </is>
      </c>
      <c r="F78" s="6" t="inlineStr">
        <is>
          <t>US$25m+</t>
        </is>
      </c>
      <c r="G78" s="6" t="inlineStr">
        <is>
          <t>Credit, infra</t>
        </is>
      </c>
      <c r="H78" s="6" t="inlineStr">
        <is>
          <t>Gulf / Europe</t>
        </is>
      </c>
      <c r="I78" s="6" t="inlineStr">
        <is>
          <t>Infrastructure (Gulf)</t>
        </is>
      </c>
      <c r="J78" s="6" t="inlineStr">
        <is>
          <t>Excluded (Gulf)</t>
        </is>
      </c>
      <c r="K78" s="11" t="n">
        <v>2</v>
      </c>
      <c r="L78" s="11" t="n">
        <v>0</v>
      </c>
      <c r="M78" s="11" t="n">
        <v>2</v>
      </c>
      <c r="N78" s="11" t="n">
        <v>1</v>
      </c>
      <c r="O78" s="11" t="n">
        <v>3</v>
      </c>
      <c r="P78" s="11" t="n">
        <v>1</v>
      </c>
      <c r="Q78" s="11" t="n">
        <v>2</v>
      </c>
      <c r="R78" s="12">
        <f>ROUND(SUMPRODUCT(K78:Q78,Scoring_Weights!$E$5:$K$5)/Scoring_Weights!$B$12*20,0)</f>
        <v/>
      </c>
      <c r="S78" s="13">
        <f>IF(R78&gt;=Scoring_Weights!$B$15,"Tier 1",IF(R78&gt;=Scoring_Weights!$B$16,"Tier 2","Tier 3"))</f>
        <v/>
      </c>
      <c r="T78" s="6" t="inlineStr">
        <is>
          <t>Wave 2 for IPL only (Gulf LP channel)</t>
        </is>
      </c>
      <c r="U78" s="6" t="inlineStr">
        <is>
          <t>Cold</t>
        </is>
      </c>
      <c r="V78" s="6" t="inlineStr"/>
      <c r="W78" s="6" t="inlineStr">
        <is>
          <t>Cascade map</t>
        </is>
      </c>
    </row>
    <row r="79">
      <c r="A79" s="6" t="inlineStr">
        <is>
          <t>Elliott Management</t>
        </is>
      </c>
      <c r="B79" s="6" t="inlineStr">
        <is>
          <t>Cascade map - AUM US$20-100b</t>
        </is>
      </c>
      <c r="C79" s="6" t="inlineStr">
        <is>
          <t>New York / London</t>
        </is>
      </c>
      <c r="D79" s="6" t="inlineStr">
        <is>
          <t>Multi-strategy</t>
        </is>
      </c>
      <c r="E79" s="6" t="inlineStr">
        <is>
          <t>n/a</t>
        </is>
      </c>
      <c r="F79" s="6" t="inlineStr">
        <is>
          <t>US$50m+</t>
        </is>
      </c>
      <c r="G79" s="6" t="inlineStr">
        <is>
          <t>Opportunistic</t>
        </is>
      </c>
      <c r="H79" s="6" t="inlineStr">
        <is>
          <t>Global</t>
        </is>
      </c>
      <c r="I79" s="6" t="inlineStr">
        <is>
          <t>No</t>
        </is>
      </c>
      <c r="J79" s="6" t="inlineStr">
        <is>
          <t>Unknown</t>
        </is>
      </c>
      <c r="K79" s="11" t="n">
        <v>1</v>
      </c>
      <c r="L79" s="11" t="n">
        <v>0</v>
      </c>
      <c r="M79" s="11" t="n">
        <v>1</v>
      </c>
      <c r="N79" s="11" t="n">
        <v>0</v>
      </c>
      <c r="O79" s="11" t="n">
        <v>3</v>
      </c>
      <c r="P79" s="11" t="n">
        <v>1</v>
      </c>
      <c r="Q79" s="11" t="n">
        <v>1</v>
      </c>
      <c r="R79" s="12">
        <f>ROUND(SUMPRODUCT(K79:Q79,Scoring_Weights!$E$5:$K$5)/Scoring_Weights!$B$12*20,0)</f>
        <v/>
      </c>
      <c r="S79" s="13">
        <f>IF(R79&gt;=Scoring_Weights!$B$15,"Tier 1",IF(R79&gt;=Scoring_Weights!$B$16,"Tier 2","Tier 3"))</f>
        <v/>
      </c>
      <c r="T79" s="6" t="inlineStr">
        <is>
          <t>Not relevant</t>
        </is>
      </c>
      <c r="U79" s="6" t="inlineStr">
        <is>
          <t>n/a</t>
        </is>
      </c>
      <c r="V79" s="6" t="inlineStr"/>
      <c r="W79" s="6" t="inlineStr">
        <is>
          <t>Cascade map</t>
        </is>
      </c>
    </row>
    <row r="80">
      <c r="A80" s="6" t="inlineStr">
        <is>
          <t>Millennium Management</t>
        </is>
      </c>
      <c r="B80" s="6" t="inlineStr">
        <is>
          <t>Cascade map - AUM US$20-100b</t>
        </is>
      </c>
      <c r="C80" s="6" t="inlineStr">
        <is>
          <t>New York / London</t>
        </is>
      </c>
      <c r="D80" s="6" t="inlineStr">
        <is>
          <t>Multi-strategy hedge fund</t>
        </is>
      </c>
      <c r="E80" s="6" t="inlineStr">
        <is>
          <t>n/a</t>
        </is>
      </c>
      <c r="F80" s="6" t="inlineStr">
        <is>
          <t>n/a</t>
        </is>
      </c>
      <c r="G80" s="6" t="inlineStr">
        <is>
          <t>n/a</t>
        </is>
      </c>
      <c r="H80" s="6" t="inlineStr">
        <is>
          <t>Global</t>
        </is>
      </c>
      <c r="I80" s="6" t="inlineStr">
        <is>
          <t>No</t>
        </is>
      </c>
      <c r="J80" s="6" t="inlineStr">
        <is>
          <t>Unknown</t>
        </is>
      </c>
      <c r="K80" s="11" t="n">
        <v>0</v>
      </c>
      <c r="L80" s="11" t="n">
        <v>0</v>
      </c>
      <c r="M80" s="11" t="n">
        <v>1</v>
      </c>
      <c r="N80" s="11" t="n">
        <v>0</v>
      </c>
      <c r="O80" s="11" t="n">
        <v>1</v>
      </c>
      <c r="P80" s="11" t="n">
        <v>1</v>
      </c>
      <c r="Q80" s="11" t="n">
        <v>1</v>
      </c>
      <c r="R80" s="12">
        <f>ROUND(SUMPRODUCT(K80:Q80,Scoring_Weights!$E$5:$K$5)/Scoring_Weights!$B$12*20,0)</f>
        <v/>
      </c>
      <c r="S80" s="13">
        <f>IF(R80&gt;=Scoring_Weights!$B$15,"Tier 1",IF(R80&gt;=Scoring_Weights!$B$16,"Tier 2","Tier 3"))</f>
        <v/>
      </c>
      <c r="T80" s="6" t="inlineStr">
        <is>
          <t>Not relevant</t>
        </is>
      </c>
      <c r="U80" s="6" t="inlineStr">
        <is>
          <t>n/a</t>
        </is>
      </c>
      <c r="V80" s="6" t="inlineStr"/>
      <c r="W80" s="6" t="inlineStr">
        <is>
          <t>Cascade map</t>
        </is>
      </c>
    </row>
    <row r="81">
      <c r="A81" s="6" t="inlineStr">
        <is>
          <t>Golub Capital</t>
        </is>
      </c>
      <c r="B81" s="6" t="inlineStr">
        <is>
          <t>Cascade map - AUM US$20-100b</t>
        </is>
      </c>
      <c r="C81" s="6" t="inlineStr">
        <is>
          <t>New York / London</t>
        </is>
      </c>
      <c r="D81" s="6" t="inlineStr">
        <is>
          <t>Sponsor-backed direct lending</t>
        </is>
      </c>
      <c r="E81" s="6" t="inlineStr">
        <is>
          <t>n/a</t>
        </is>
      </c>
      <c r="F81" s="6" t="inlineStr">
        <is>
          <t>US$30m+</t>
        </is>
      </c>
      <c r="G81" s="6" t="inlineStr">
        <is>
          <t>Senior DL</t>
        </is>
      </c>
      <c r="H81" s="6" t="inlineStr">
        <is>
          <t>US / Europe</t>
        </is>
      </c>
      <c r="I81" s="6" t="inlineStr">
        <is>
          <t>No</t>
        </is>
      </c>
      <c r="J81" s="6" t="inlineStr">
        <is>
          <t>Unknown</t>
        </is>
      </c>
      <c r="K81" s="11" t="n">
        <v>0</v>
      </c>
      <c r="L81" s="11" t="n">
        <v>0</v>
      </c>
      <c r="M81" s="11" t="n">
        <v>2</v>
      </c>
      <c r="N81" s="11" t="n">
        <v>0</v>
      </c>
      <c r="O81" s="11" t="n">
        <v>1</v>
      </c>
      <c r="P81" s="11" t="n">
        <v>1</v>
      </c>
      <c r="Q81" s="11" t="n">
        <v>2</v>
      </c>
      <c r="R81" s="12">
        <f>ROUND(SUMPRODUCT(K81:Q81,Scoring_Weights!$E$5:$K$5)/Scoring_Weights!$B$12*20,0)</f>
        <v/>
      </c>
      <c r="S81" s="13">
        <f>IF(R81&gt;=Scoring_Weights!$B$15,"Tier 1",IF(R81&gt;=Scoring_Weights!$B$16,"Tier 2","Tier 3"))</f>
        <v/>
      </c>
      <c r="T81" s="6" t="inlineStr">
        <is>
          <t>Not relevant</t>
        </is>
      </c>
      <c r="U81" s="6" t="inlineStr">
        <is>
          <t>n/a</t>
        </is>
      </c>
      <c r="V81" s="6" t="inlineStr"/>
      <c r="W81" s="6" t="inlineStr">
        <is>
          <t>Cascade map</t>
        </is>
      </c>
    </row>
    <row r="82">
      <c r="A82" s="6" t="inlineStr">
        <is>
          <t>European Bank for Reconstruction and Development (EBRD)</t>
        </is>
      </c>
      <c r="B82" s="6" t="inlineStr">
        <is>
          <t>Cascade map - AUM US$20-100b</t>
        </is>
      </c>
      <c r="C82" s="6" t="inlineStr">
        <is>
          <t>London</t>
        </is>
      </c>
      <c r="D82" s="6" t="inlineStr">
        <is>
          <t>Greek mandate ended Dec 2025 (€8.3b / 120 projects); Athens office to end-2027; only board-approved pipeline</t>
        </is>
      </c>
      <c r="E82" s="6" t="inlineStr">
        <is>
          <t>n/a</t>
        </is>
      </c>
      <c r="F82" s="6" t="inlineStr">
        <is>
          <t>€10m to €100m</t>
        </is>
      </c>
      <c r="G82" s="6" t="inlineStr">
        <is>
          <t>Loans, equity, guarantees</t>
        </is>
      </c>
      <c r="H82" s="6" t="inlineStr">
        <is>
          <t>Greece closed for new deals</t>
        </is>
      </c>
      <c r="I82" s="6" t="inlineStr">
        <is>
          <t>Green Economy Financing Facility (historic)</t>
        </is>
      </c>
      <c r="J82" s="6" t="inlineStr">
        <is>
          <t>Not named in exclusion list</t>
        </is>
      </c>
      <c r="K82" s="11" t="n">
        <v>2</v>
      </c>
      <c r="L82" s="11" t="n">
        <v>1</v>
      </c>
      <c r="M82" s="11" t="n">
        <v>4</v>
      </c>
      <c r="N82" s="11" t="n">
        <v>3</v>
      </c>
      <c r="O82" s="11" t="n">
        <v>3</v>
      </c>
      <c r="P82" s="11" t="n">
        <v>2</v>
      </c>
      <c r="Q82" s="11" t="n">
        <v>1</v>
      </c>
      <c r="R82" s="12">
        <f>ROUND(SUMPRODUCT(K82:Q82,Scoring_Weights!$E$5:$K$5)/Scoring_Weights!$B$12*20,0)</f>
        <v/>
      </c>
      <c r="S82" s="13">
        <f>IF(R82&gt;=Scoring_Weights!$B$15,"Tier 1",IF(R82&gt;=Scoring_Weights!$B$16,"Tier 2","Tier 3"))</f>
        <v/>
      </c>
      <c r="T82" s="6" t="inlineStr">
        <is>
          <t>No new Greek deals; Cyprus not a country of operation</t>
        </is>
      </c>
      <c r="U82" s="6" t="inlineStr">
        <is>
          <t>n/a</t>
        </is>
      </c>
      <c r="V82" s="6" t="inlineStr"/>
      <c r="W82" s="6" t="inlineStr">
        <is>
          <t>ebrd.com</t>
        </is>
      </c>
    </row>
    <row r="83">
      <c r="A83" s="6" t="inlineStr">
        <is>
          <t>Sixth Street</t>
        </is>
      </c>
      <c r="B83" s="6" t="inlineStr">
        <is>
          <t>Cascade map - AUM US$20-100b</t>
        </is>
      </c>
      <c r="C83" s="6" t="inlineStr">
        <is>
          <t>London</t>
        </is>
      </c>
      <c r="D83" s="6" t="inlineStr">
        <is>
          <t>EDL III €3.75b; growth, ABF, infra</t>
        </is>
      </c>
      <c r="E83" s="6" t="inlineStr">
        <is>
          <t>€3.75b</t>
        </is>
      </c>
      <c r="F83" s="6" t="inlineStr">
        <is>
          <t>€30m+</t>
        </is>
      </c>
      <c r="G83" s="6" t="inlineStr">
        <is>
          <t>Growth, ABF, infra</t>
        </is>
      </c>
      <c r="H83" s="6" t="inlineStr">
        <is>
          <t>Pan-European</t>
        </is>
      </c>
      <c r="I83" s="6" t="inlineStr">
        <is>
          <t>Growth / infra</t>
        </is>
      </c>
      <c r="J83" s="6" t="inlineStr">
        <is>
          <t>Unknown</t>
        </is>
      </c>
      <c r="K83" s="11" t="n">
        <v>2</v>
      </c>
      <c r="L83" s="11" t="n">
        <v>1</v>
      </c>
      <c r="M83" s="11" t="n">
        <v>2</v>
      </c>
      <c r="N83" s="11" t="n">
        <v>2</v>
      </c>
      <c r="O83" s="11" t="n">
        <v>4</v>
      </c>
      <c r="P83" s="11" t="n">
        <v>1</v>
      </c>
      <c r="Q83" s="11" t="n">
        <v>2</v>
      </c>
      <c r="R83" s="12">
        <f>ROUND(SUMPRODUCT(K83:Q83,Scoring_Weights!$E$5:$K$5)/Scoring_Weights!$B$12*20,0)</f>
        <v/>
      </c>
      <c r="S83" s="13">
        <f>IF(R83&gt;=Scoring_Weights!$B$15,"Tier 1",IF(R83&gt;=Scoring_Weights!$B$16,"Tier 2","Tier 3"))</f>
        <v/>
      </c>
      <c r="T83" s="6" t="inlineStr">
        <is>
          <t>IVP-level</t>
        </is>
      </c>
      <c r="U83" s="6" t="inlineStr">
        <is>
          <t>Cold</t>
        </is>
      </c>
      <c r="V83" s="6" t="inlineStr"/>
      <c r="W83" s="6" t="inlineStr">
        <is>
          <t>sixthstreet.com</t>
        </is>
      </c>
    </row>
    <row r="84">
      <c r="A84" s="6" t="inlineStr">
        <is>
          <t>Clearlake Credit</t>
        </is>
      </c>
      <c r="B84" s="6" t="inlineStr">
        <is>
          <t>Cascade map - AUM US$20-100b</t>
        </is>
      </c>
      <c r="C84" s="6" t="inlineStr">
        <is>
          <t>Santa Monica / London</t>
        </is>
      </c>
      <c r="D84" s="6" t="inlineStr">
        <is>
          <t>Credit</t>
        </is>
      </c>
      <c r="E84" s="6" t="inlineStr">
        <is>
          <t>n/a</t>
        </is>
      </c>
      <c r="F84" s="6" t="inlineStr">
        <is>
          <t>US$25m+</t>
        </is>
      </c>
      <c r="G84" s="6" t="inlineStr">
        <is>
          <t>Credit</t>
        </is>
      </c>
      <c r="H84" s="6" t="inlineStr">
        <is>
          <t>US / Europe</t>
        </is>
      </c>
      <c r="I84" s="6" t="inlineStr">
        <is>
          <t>No</t>
        </is>
      </c>
      <c r="J84" s="6" t="inlineStr">
        <is>
          <t>Unknown</t>
        </is>
      </c>
      <c r="K84" s="11" t="n">
        <v>0</v>
      </c>
      <c r="L84" s="11" t="n">
        <v>0</v>
      </c>
      <c r="M84" s="11" t="n">
        <v>2</v>
      </c>
      <c r="N84" s="11" t="n">
        <v>0</v>
      </c>
      <c r="O84" s="11" t="n">
        <v>2</v>
      </c>
      <c r="P84" s="11" t="n">
        <v>1</v>
      </c>
      <c r="Q84" s="11" t="n">
        <v>2</v>
      </c>
      <c r="R84" s="12">
        <f>ROUND(SUMPRODUCT(K84:Q84,Scoring_Weights!$E$5:$K$5)/Scoring_Weights!$B$12*20,0)</f>
        <v/>
      </c>
      <c r="S84" s="13">
        <f>IF(R84&gt;=Scoring_Weights!$B$15,"Tier 1",IF(R84&gt;=Scoring_Weights!$B$16,"Tier 2","Tier 3"))</f>
        <v/>
      </c>
      <c r="T84" s="6" t="inlineStr">
        <is>
          <t>Not relevant</t>
        </is>
      </c>
      <c r="U84" s="6" t="inlineStr">
        <is>
          <t>n/a</t>
        </is>
      </c>
      <c r="V84" s="6" t="inlineStr"/>
      <c r="W84" s="6" t="inlineStr">
        <is>
          <t>Cascade map</t>
        </is>
      </c>
    </row>
    <row r="85">
      <c r="A85" s="6" t="inlineStr">
        <is>
          <t>NEAM (New England Asset Management)</t>
        </is>
      </c>
      <c r="B85" s="6" t="inlineStr">
        <is>
          <t>Cascade map - AUM US$20-100b</t>
        </is>
      </c>
      <c r="C85" s="6" t="inlineStr">
        <is>
          <t>Farmington / Dublin</t>
        </is>
      </c>
      <c r="D85" s="6" t="inlineStr">
        <is>
          <t>Insurance asset management</t>
        </is>
      </c>
      <c r="E85" s="6" t="inlineStr">
        <is>
          <t>n/a</t>
        </is>
      </c>
      <c r="F85" s="6" t="inlineStr">
        <is>
          <t>n/a</t>
        </is>
      </c>
      <c r="G85" s="6" t="inlineStr">
        <is>
          <t>Fixed income</t>
        </is>
      </c>
      <c r="H85" s="6" t="inlineStr">
        <is>
          <t>US / Europe</t>
        </is>
      </c>
      <c r="I85" s="6" t="inlineStr">
        <is>
          <t>No</t>
        </is>
      </c>
      <c r="J85" s="6" t="inlineStr">
        <is>
          <t>Unknown</t>
        </is>
      </c>
      <c r="K85" s="11" t="n">
        <v>0</v>
      </c>
      <c r="L85" s="11" t="n">
        <v>0</v>
      </c>
      <c r="M85" s="11" t="n">
        <v>1</v>
      </c>
      <c r="N85" s="11" t="n">
        <v>0</v>
      </c>
      <c r="O85" s="11" t="n">
        <v>1</v>
      </c>
      <c r="P85" s="11" t="n">
        <v>1</v>
      </c>
      <c r="Q85" s="11" t="n">
        <v>1</v>
      </c>
      <c r="R85" s="12">
        <f>ROUND(SUMPRODUCT(K85:Q85,Scoring_Weights!$E$5:$K$5)/Scoring_Weights!$B$12*20,0)</f>
        <v/>
      </c>
      <c r="S85" s="13">
        <f>IF(R85&gt;=Scoring_Weights!$B$15,"Tier 1",IF(R85&gt;=Scoring_Weights!$B$16,"Tier 2","Tier 3"))</f>
        <v/>
      </c>
      <c r="T85" s="6" t="inlineStr">
        <is>
          <t>Not relevant</t>
        </is>
      </c>
      <c r="U85" s="6" t="inlineStr">
        <is>
          <t>n/a</t>
        </is>
      </c>
      <c r="V85" s="6" t="inlineStr"/>
      <c r="W85" s="6" t="inlineStr">
        <is>
          <t>Cascade map</t>
        </is>
      </c>
    </row>
    <row r="86">
      <c r="A86" s="6" t="inlineStr">
        <is>
          <t>Investec</t>
        </is>
      </c>
      <c r="B86" s="6" t="inlineStr">
        <is>
          <t>Cascade map - AUM US$20-100b</t>
        </is>
      </c>
      <c r="C86" s="6" t="inlineStr">
        <is>
          <t>London</t>
        </is>
      </c>
      <c r="D86" s="6" t="inlineStr">
        <is>
          <t>Growth and leveraged finance, fund solutions, aviation</t>
        </is>
      </c>
      <c r="E86" s="6" t="inlineStr">
        <is>
          <t>n/a</t>
        </is>
      </c>
      <c r="F86" s="6" t="inlineStr">
        <is>
          <t>£10m to £100m</t>
        </is>
      </c>
      <c r="G86" s="6" t="inlineStr">
        <is>
          <t>Growth debt, fund finance</t>
        </is>
      </c>
      <c r="H86" s="6" t="inlineStr">
        <is>
          <t>UK / Europe</t>
        </is>
      </c>
      <c r="I86" s="6" t="inlineStr">
        <is>
          <t>Aviation / real assets</t>
        </is>
      </c>
      <c r="J86" s="6" t="inlineStr">
        <is>
          <t>Excluded (POCA)</t>
        </is>
      </c>
      <c r="K86" s="11" t="n">
        <v>2</v>
      </c>
      <c r="L86" s="11" t="n">
        <v>0</v>
      </c>
      <c r="M86" s="11" t="n">
        <v>4</v>
      </c>
      <c r="N86" s="11" t="n">
        <v>1</v>
      </c>
      <c r="O86" s="11" t="n">
        <v>3</v>
      </c>
      <c r="P86" s="11" t="n">
        <v>1</v>
      </c>
      <c r="Q86" s="11" t="n">
        <v>3</v>
      </c>
      <c r="R86" s="12">
        <f>ROUND(SUMPRODUCT(K86:Q86,Scoring_Weights!$E$5:$K$5)/Scoring_Weights!$B$12*20,0)</f>
        <v/>
      </c>
      <c r="S86" s="13">
        <f>IF(R86&gt;=Scoring_Weights!$B$15,"Tier 1",IF(R86&gt;=Scoring_Weights!$B$16,"Tier 2","Tier 3"))</f>
        <v/>
      </c>
      <c r="T86" s="6" t="inlineStr">
        <is>
          <t>Wave 2 - Fund Solutions for PE Fund sub-line; growth debt</t>
        </is>
      </c>
      <c r="U86" s="6" t="inlineStr">
        <is>
          <t>Cold</t>
        </is>
      </c>
      <c r="V86" s="6" t="inlineStr"/>
      <c r="W86" s="6" t="inlineStr">
        <is>
          <t>Cascade map</t>
        </is>
      </c>
    </row>
    <row r="87">
      <c r="A87" s="6" t="inlineStr">
        <is>
          <t>Challenger (Fidante)</t>
        </is>
      </c>
      <c r="B87" s="6" t="inlineStr">
        <is>
          <t>Cascade map - AUM US$20-100b</t>
        </is>
      </c>
      <c r="C87" s="6" t="inlineStr">
        <is>
          <t>Sydney / London</t>
        </is>
      </c>
      <c r="D87" s="6" t="inlineStr">
        <is>
          <t>Insurance-led credit</t>
        </is>
      </c>
      <c r="E87" s="6" t="inlineStr">
        <is>
          <t>n/a</t>
        </is>
      </c>
      <c r="F87" s="6" t="inlineStr">
        <is>
          <t>n/a</t>
        </is>
      </c>
      <c r="G87" s="6" t="inlineStr">
        <is>
          <t>Credit</t>
        </is>
      </c>
      <c r="H87" s="6" t="inlineStr">
        <is>
          <t>Australia / Europe</t>
        </is>
      </c>
      <c r="I87" s="6" t="inlineStr">
        <is>
          <t>No</t>
        </is>
      </c>
      <c r="J87" s="6" t="inlineStr">
        <is>
          <t>Unknown</t>
        </is>
      </c>
      <c r="K87" s="11" t="n">
        <v>0</v>
      </c>
      <c r="L87" s="11" t="n">
        <v>0</v>
      </c>
      <c r="M87" s="11" t="n">
        <v>1</v>
      </c>
      <c r="N87" s="11" t="n">
        <v>0</v>
      </c>
      <c r="O87" s="11" t="n">
        <v>1</v>
      </c>
      <c r="P87" s="11" t="n">
        <v>1</v>
      </c>
      <c r="Q87" s="11" t="n">
        <v>1</v>
      </c>
      <c r="R87" s="12">
        <f>ROUND(SUMPRODUCT(K87:Q87,Scoring_Weights!$E$5:$K$5)/Scoring_Weights!$B$12*20,0)</f>
        <v/>
      </c>
      <c r="S87" s="13">
        <f>IF(R87&gt;=Scoring_Weights!$B$15,"Tier 1",IF(R87&gt;=Scoring_Weights!$B$16,"Tier 2","Tier 3"))</f>
        <v/>
      </c>
      <c r="T87" s="6" t="inlineStr">
        <is>
          <t>Not relevant</t>
        </is>
      </c>
      <c r="U87" s="6" t="inlineStr">
        <is>
          <t>n/a</t>
        </is>
      </c>
      <c r="V87" s="6" t="inlineStr"/>
      <c r="W87" s="6" t="inlineStr">
        <is>
          <t>Cascade map</t>
        </is>
      </c>
    </row>
    <row r="88">
      <c r="A88" s="6" t="inlineStr">
        <is>
          <t>HPS Investment Partners (BlackRock)</t>
        </is>
      </c>
      <c r="B88" s="6" t="inlineStr">
        <is>
          <t>Cascade map - AUM &gt; US$100b</t>
        </is>
      </c>
      <c r="C88" s="6" t="inlineStr">
        <is>
          <t>New York / London</t>
        </is>
      </c>
      <c r="D88" s="6" t="inlineStr">
        <is>
          <t>Junior capital, direct lending, ABF</t>
        </is>
      </c>
      <c r="E88" s="6" t="inlineStr">
        <is>
          <t>n/a</t>
        </is>
      </c>
      <c r="F88" s="6" t="inlineStr">
        <is>
          <t>US$50m+</t>
        </is>
      </c>
      <c r="G88" s="6" t="inlineStr">
        <is>
          <t>Junior, ABF</t>
        </is>
      </c>
      <c r="H88" s="6" t="inlineStr">
        <is>
          <t>Global</t>
        </is>
      </c>
      <c r="I88" s="6" t="inlineStr">
        <is>
          <t>Yes (large)</t>
        </is>
      </c>
      <c r="J88" s="6" t="inlineStr">
        <is>
          <t>Unknown</t>
        </is>
      </c>
      <c r="K88" s="11" t="n">
        <v>2</v>
      </c>
      <c r="L88" s="11" t="n">
        <v>0</v>
      </c>
      <c r="M88" s="11" t="n">
        <v>1</v>
      </c>
      <c r="N88" s="11" t="n">
        <v>1</v>
      </c>
      <c r="O88" s="11" t="n">
        <v>4</v>
      </c>
      <c r="P88" s="11" t="n">
        <v>1</v>
      </c>
      <c r="Q88" s="11" t="n">
        <v>1</v>
      </c>
      <c r="R88" s="12">
        <f>ROUND(SUMPRODUCT(K88:Q88,Scoring_Weights!$E$5:$K$5)/Scoring_Weights!$B$12*20,0)</f>
        <v/>
      </c>
      <c r="S88" s="13">
        <f>IF(R88&gt;=Scoring_Weights!$B$15,"Tier 1",IF(R88&gt;=Scoring_Weights!$B$16,"Tier 2","Tier 3"))</f>
        <v/>
      </c>
      <c r="T88" s="6" t="inlineStr">
        <is>
          <t>IVP-level only</t>
        </is>
      </c>
      <c r="U88" s="6" t="inlineStr">
        <is>
          <t>Cold</t>
        </is>
      </c>
      <c r="V88" s="6" t="inlineStr"/>
      <c r="W88" s="6" t="inlineStr">
        <is>
          <t>Cascade map</t>
        </is>
      </c>
    </row>
    <row r="89">
      <c r="A89" s="6" t="inlineStr">
        <is>
          <t>PineBridge Investments</t>
        </is>
      </c>
      <c r="B89" s="6" t="inlineStr">
        <is>
          <t>Cascade map - AUM &gt; US$100b</t>
        </is>
      </c>
      <c r="C89" s="6" t="inlineStr">
        <is>
          <t>New York / London</t>
        </is>
      </c>
      <c r="D89" s="6" t="inlineStr">
        <is>
          <t>Private credit, ABF</t>
        </is>
      </c>
      <c r="E89" s="6" t="inlineStr">
        <is>
          <t>n/a</t>
        </is>
      </c>
      <c r="F89" s="6" t="inlineStr">
        <is>
          <t>US$25m+</t>
        </is>
      </c>
      <c r="G89" s="6" t="inlineStr">
        <is>
          <t>Credit</t>
        </is>
      </c>
      <c r="H89" s="6" t="inlineStr">
        <is>
          <t>Global</t>
        </is>
      </c>
      <c r="I89" s="6" t="inlineStr">
        <is>
          <t>No</t>
        </is>
      </c>
      <c r="J89" s="6" t="inlineStr">
        <is>
          <t>Unknown</t>
        </is>
      </c>
      <c r="K89" s="11" t="n">
        <v>1</v>
      </c>
      <c r="L89" s="11" t="n">
        <v>0</v>
      </c>
      <c r="M89" s="11" t="n">
        <v>2</v>
      </c>
      <c r="N89" s="11" t="n">
        <v>0</v>
      </c>
      <c r="O89" s="11" t="n">
        <v>2</v>
      </c>
      <c r="P89" s="11" t="n">
        <v>1</v>
      </c>
      <c r="Q89" s="11" t="n">
        <v>2</v>
      </c>
      <c r="R89" s="12">
        <f>ROUND(SUMPRODUCT(K89:Q89,Scoring_Weights!$E$5:$K$5)/Scoring_Weights!$B$12*20,0)</f>
        <v/>
      </c>
      <c r="S89" s="13">
        <f>IF(R89&gt;=Scoring_Weights!$B$15,"Tier 1",IF(R89&gt;=Scoring_Weights!$B$16,"Tier 2","Tier 3"))</f>
        <v/>
      </c>
      <c r="T89" s="6" t="inlineStr">
        <is>
          <t>Tier 3</t>
        </is>
      </c>
      <c r="U89" s="6" t="inlineStr">
        <is>
          <t>Cold</t>
        </is>
      </c>
      <c r="V89" s="6" t="inlineStr"/>
      <c r="W89" s="6" t="inlineStr">
        <is>
          <t>Cascade map</t>
        </is>
      </c>
    </row>
    <row r="90">
      <c r="A90" s="6" t="inlineStr">
        <is>
          <t>Atlas SP Partners (Apollo)</t>
        </is>
      </c>
      <c r="B90" s="6" t="inlineStr">
        <is>
          <t>Cascade map - AUM &gt; US$100b</t>
        </is>
      </c>
      <c r="C90" s="6" t="inlineStr">
        <is>
          <t>New York</t>
        </is>
      </c>
      <c r="D90" s="6" t="inlineStr">
        <is>
          <t>Warehouse / securitised products</t>
        </is>
      </c>
      <c r="E90" s="6" t="inlineStr">
        <is>
          <t>n/a</t>
        </is>
      </c>
      <c r="F90" s="6" t="inlineStr">
        <is>
          <t>US$50m+</t>
        </is>
      </c>
      <c r="G90" s="6" t="inlineStr">
        <is>
          <t>Warehouse</t>
        </is>
      </c>
      <c r="H90" s="6" t="inlineStr">
        <is>
          <t>US</t>
        </is>
      </c>
      <c r="I90" s="6" t="inlineStr">
        <is>
          <t>No</t>
        </is>
      </c>
      <c r="J90" s="6" t="inlineStr">
        <is>
          <t>Unknown</t>
        </is>
      </c>
      <c r="K90" s="11" t="n">
        <v>0</v>
      </c>
      <c r="L90" s="11" t="n">
        <v>0</v>
      </c>
      <c r="M90" s="11" t="n">
        <v>1</v>
      </c>
      <c r="N90" s="11" t="n">
        <v>0</v>
      </c>
      <c r="O90" s="11" t="n">
        <v>1</v>
      </c>
      <c r="P90" s="11" t="n">
        <v>1</v>
      </c>
      <c r="Q90" s="11" t="n">
        <v>1</v>
      </c>
      <c r="R90" s="12">
        <f>ROUND(SUMPRODUCT(K90:Q90,Scoring_Weights!$E$5:$K$5)/Scoring_Weights!$B$12*20,0)</f>
        <v/>
      </c>
      <c r="S90" s="13">
        <f>IF(R90&gt;=Scoring_Weights!$B$15,"Tier 1",IF(R90&gt;=Scoring_Weights!$B$16,"Tier 2","Tier 3"))</f>
        <v/>
      </c>
      <c r="T90" s="6" t="inlineStr">
        <is>
          <t>Not relevant</t>
        </is>
      </c>
      <c r="U90" s="6" t="inlineStr">
        <is>
          <t>n/a</t>
        </is>
      </c>
      <c r="V90" s="6" t="inlineStr"/>
      <c r="W90" s="6" t="inlineStr">
        <is>
          <t>Cascade map</t>
        </is>
      </c>
    </row>
    <row r="91">
      <c r="A91" s="6" t="inlineStr">
        <is>
          <t>Ninety One</t>
        </is>
      </c>
      <c r="B91" s="6" t="inlineStr">
        <is>
          <t>Cascade map - AUM &gt; US$100b</t>
        </is>
      </c>
      <c r="C91" s="6" t="inlineStr">
        <is>
          <t>London / Cape Town</t>
        </is>
      </c>
      <c r="D91" s="6" t="inlineStr">
        <is>
          <t>Emerging-market and specialist credit</t>
        </is>
      </c>
      <c r="E91" s="6" t="inlineStr">
        <is>
          <t>n/a</t>
        </is>
      </c>
      <c r="F91" s="6" t="inlineStr">
        <is>
          <t>US$25m+</t>
        </is>
      </c>
      <c r="G91" s="6" t="inlineStr">
        <is>
          <t>Credit</t>
        </is>
      </c>
      <c r="H91" s="6" t="inlineStr">
        <is>
          <t>Global</t>
        </is>
      </c>
      <c r="I91" s="6" t="inlineStr">
        <is>
          <t>No</t>
        </is>
      </c>
      <c r="J91" s="6" t="inlineStr">
        <is>
          <t>Unknown</t>
        </is>
      </c>
      <c r="K91" s="11" t="n">
        <v>1</v>
      </c>
      <c r="L91" s="11" t="n">
        <v>0</v>
      </c>
      <c r="M91" s="11" t="n">
        <v>2</v>
      </c>
      <c r="N91" s="11" t="n">
        <v>0</v>
      </c>
      <c r="O91" s="11" t="n">
        <v>2</v>
      </c>
      <c r="P91" s="11" t="n">
        <v>1</v>
      </c>
      <c r="Q91" s="11" t="n">
        <v>2</v>
      </c>
      <c r="R91" s="12">
        <f>ROUND(SUMPRODUCT(K91:Q91,Scoring_Weights!$E$5:$K$5)/Scoring_Weights!$B$12*20,0)</f>
        <v/>
      </c>
      <c r="S91" s="13">
        <f>IF(R91&gt;=Scoring_Weights!$B$15,"Tier 1",IF(R91&gt;=Scoring_Weights!$B$16,"Tier 2","Tier 3"))</f>
        <v/>
      </c>
      <c r="T91" s="6" t="inlineStr">
        <is>
          <t>Tier 3</t>
        </is>
      </c>
      <c r="U91" s="6" t="inlineStr">
        <is>
          <t>Cold</t>
        </is>
      </c>
      <c r="V91" s="6" t="inlineStr"/>
      <c r="W91" s="6" t="inlineStr">
        <is>
          <t>Cascade map</t>
        </is>
      </c>
    </row>
    <row r="92">
      <c r="A92" s="6" t="inlineStr">
        <is>
          <t>Man Group</t>
        </is>
      </c>
      <c r="B92" s="6" t="inlineStr">
        <is>
          <t>Cascade map - AUM &gt; US$100b</t>
        </is>
      </c>
      <c r="C92" s="6" t="inlineStr">
        <is>
          <t>London</t>
        </is>
      </c>
      <c r="D92" s="6" t="inlineStr">
        <is>
          <t>Man Varagon / ABF</t>
        </is>
      </c>
      <c r="E92" s="6" t="inlineStr">
        <is>
          <t>n/a</t>
        </is>
      </c>
      <c r="F92" s="6" t="inlineStr">
        <is>
          <t>US$25m+</t>
        </is>
      </c>
      <c r="G92" s="6" t="inlineStr">
        <is>
          <t>Credit, ABF</t>
        </is>
      </c>
      <c r="H92" s="6" t="inlineStr">
        <is>
          <t>Global</t>
        </is>
      </c>
      <c r="I92" s="6" t="inlineStr">
        <is>
          <t>No</t>
        </is>
      </c>
      <c r="J92" s="6" t="inlineStr">
        <is>
          <t>Unknown</t>
        </is>
      </c>
      <c r="K92" s="11" t="n">
        <v>1</v>
      </c>
      <c r="L92" s="11" t="n">
        <v>0</v>
      </c>
      <c r="M92" s="11" t="n">
        <v>2</v>
      </c>
      <c r="N92" s="11" t="n">
        <v>0</v>
      </c>
      <c r="O92" s="11" t="n">
        <v>2</v>
      </c>
      <c r="P92" s="11" t="n">
        <v>1</v>
      </c>
      <c r="Q92" s="11" t="n">
        <v>2</v>
      </c>
      <c r="R92" s="12">
        <f>ROUND(SUMPRODUCT(K92:Q92,Scoring_Weights!$E$5:$K$5)/Scoring_Weights!$B$12*20,0)</f>
        <v/>
      </c>
      <c r="S92" s="13">
        <f>IF(R92&gt;=Scoring_Weights!$B$15,"Tier 1",IF(R92&gt;=Scoring_Weights!$B$16,"Tier 2","Tier 3"))</f>
        <v/>
      </c>
      <c r="T92" s="6" t="inlineStr">
        <is>
          <t>Tier 3</t>
        </is>
      </c>
      <c r="U92" s="6" t="inlineStr">
        <is>
          <t>Cold</t>
        </is>
      </c>
      <c r="V92" s="6" t="inlineStr"/>
      <c r="W92" s="6" t="inlineStr">
        <is>
          <t>Cascade map</t>
        </is>
      </c>
    </row>
    <row r="93">
      <c r="A93" s="6" t="inlineStr">
        <is>
          <t>Oaktree Capital Management</t>
        </is>
      </c>
      <c r="B93" s="6" t="inlineStr">
        <is>
          <t>Cascade map - AUM &gt; US$100b</t>
        </is>
      </c>
      <c r="C93" s="6" t="inlineStr">
        <is>
          <t>Los Angeles / London</t>
        </is>
      </c>
      <c r="D93" s="6" t="inlineStr">
        <is>
          <t>Opportunistic credit, infrastructure, special sits</t>
        </is>
      </c>
      <c r="E93" s="6" t="inlineStr">
        <is>
          <t>n/a</t>
        </is>
      </c>
      <c r="F93" s="6" t="inlineStr">
        <is>
          <t>US$50m+</t>
        </is>
      </c>
      <c r="G93" s="6" t="inlineStr">
        <is>
          <t>Opportunistic, infra</t>
        </is>
      </c>
      <c r="H93" s="6" t="inlineStr">
        <is>
          <t>Global</t>
        </is>
      </c>
      <c r="I93" s="6" t="inlineStr">
        <is>
          <t>Infrastructure</t>
        </is>
      </c>
      <c r="J93" s="6" t="inlineStr">
        <is>
          <t>Unknown</t>
        </is>
      </c>
      <c r="K93" s="11" t="n">
        <v>2</v>
      </c>
      <c r="L93" s="11" t="n">
        <v>0</v>
      </c>
      <c r="M93" s="11" t="n">
        <v>1</v>
      </c>
      <c r="N93" s="11" t="n">
        <v>1</v>
      </c>
      <c r="O93" s="11" t="n">
        <v>4</v>
      </c>
      <c r="P93" s="11" t="n">
        <v>1</v>
      </c>
      <c r="Q93" s="11" t="n">
        <v>1</v>
      </c>
      <c r="R93" s="12">
        <f>ROUND(SUMPRODUCT(K93:Q93,Scoring_Weights!$E$5:$K$5)/Scoring_Weights!$B$12*20,0)</f>
        <v/>
      </c>
      <c r="S93" s="13">
        <f>IF(R93&gt;=Scoring_Weights!$B$15,"Tier 1",IF(R93&gt;=Scoring_Weights!$B$16,"Tier 2","Tier 3"))</f>
        <v/>
      </c>
      <c r="T93" s="6" t="inlineStr">
        <is>
          <t>IVP-level</t>
        </is>
      </c>
      <c r="U93" s="6" t="inlineStr">
        <is>
          <t>Cold</t>
        </is>
      </c>
      <c r="V93" s="6" t="inlineStr"/>
      <c r="W93" s="6" t="inlineStr">
        <is>
          <t>Cascade map</t>
        </is>
      </c>
    </row>
    <row r="94">
      <c r="A94" s="6" t="inlineStr">
        <is>
          <t>TCW</t>
        </is>
      </c>
      <c r="B94" s="6" t="inlineStr">
        <is>
          <t>Cascade map - AUM &gt; US$100b</t>
        </is>
      </c>
      <c r="C94" s="6" t="inlineStr">
        <is>
          <t>Los Angeles</t>
        </is>
      </c>
      <c r="D94" s="6" t="inlineStr">
        <is>
          <t>Private credit, ABF</t>
        </is>
      </c>
      <c r="E94" s="6" t="inlineStr">
        <is>
          <t>n/a</t>
        </is>
      </c>
      <c r="F94" s="6" t="inlineStr">
        <is>
          <t>US$25m+</t>
        </is>
      </c>
      <c r="G94" s="6" t="inlineStr">
        <is>
          <t>Credit</t>
        </is>
      </c>
      <c r="H94" s="6" t="inlineStr">
        <is>
          <t>US</t>
        </is>
      </c>
      <c r="I94" s="6" t="inlineStr">
        <is>
          <t>No</t>
        </is>
      </c>
      <c r="J94" s="6" t="inlineStr">
        <is>
          <t>Unknown</t>
        </is>
      </c>
      <c r="K94" s="11" t="n">
        <v>0</v>
      </c>
      <c r="L94" s="11" t="n">
        <v>0</v>
      </c>
      <c r="M94" s="11" t="n">
        <v>1</v>
      </c>
      <c r="N94" s="11" t="n">
        <v>0</v>
      </c>
      <c r="O94" s="11" t="n">
        <v>2</v>
      </c>
      <c r="P94" s="11" t="n">
        <v>1</v>
      </c>
      <c r="Q94" s="11" t="n">
        <v>1</v>
      </c>
      <c r="R94" s="12">
        <f>ROUND(SUMPRODUCT(K94:Q94,Scoring_Weights!$E$5:$K$5)/Scoring_Weights!$B$12*20,0)</f>
        <v/>
      </c>
      <c r="S94" s="13">
        <f>IF(R94&gt;=Scoring_Weights!$B$15,"Tier 1",IF(R94&gt;=Scoring_Weights!$B$16,"Tier 2","Tier 3"))</f>
        <v/>
      </c>
      <c r="T94" s="6" t="inlineStr">
        <is>
          <t>Not relevant</t>
        </is>
      </c>
      <c r="U94" s="6" t="inlineStr">
        <is>
          <t>n/a</t>
        </is>
      </c>
      <c r="V94" s="6" t="inlineStr"/>
      <c r="W94" s="6" t="inlineStr">
        <is>
          <t>Cascade map</t>
        </is>
      </c>
    </row>
    <row r="95">
      <c r="A95" s="6" t="inlineStr">
        <is>
          <t>Aviva Investors</t>
        </is>
      </c>
      <c r="B95" s="6" t="inlineStr">
        <is>
          <t>Cascade map - AUM &gt; US$100b</t>
        </is>
      </c>
      <c r="C95" s="6" t="inlineStr">
        <is>
          <t>London</t>
        </is>
      </c>
      <c r="D95" s="6" t="inlineStr">
        <is>
          <t>Real assets, infrastructure debt (record £68b European infra debt market 2025)</t>
        </is>
      </c>
      <c r="E95" s="6" t="inlineStr">
        <is>
          <t>n/a</t>
        </is>
      </c>
      <c r="F95" s="6" t="inlineStr">
        <is>
          <t>£25m+</t>
        </is>
      </c>
      <c r="G95" s="6" t="inlineStr">
        <is>
          <t>Infra debt, private debt</t>
        </is>
      </c>
      <c r="H95" s="6" t="inlineStr">
        <is>
          <t>UK / Europe</t>
        </is>
      </c>
      <c r="I95" s="6" t="inlineStr">
        <is>
          <t>Infra debt (IG-like)</t>
        </is>
      </c>
      <c r="J95" s="6" t="inlineStr">
        <is>
          <t>Excluded</t>
        </is>
      </c>
      <c r="K95" s="11" t="n">
        <v>2</v>
      </c>
      <c r="L95" s="11" t="n">
        <v>0</v>
      </c>
      <c r="M95" s="11" t="n">
        <v>2</v>
      </c>
      <c r="N95" s="11" t="n">
        <v>1</v>
      </c>
      <c r="O95" s="11" t="n">
        <v>2</v>
      </c>
      <c r="P95" s="11" t="n">
        <v>1</v>
      </c>
      <c r="Q95" s="11" t="n">
        <v>1</v>
      </c>
      <c r="R95" s="12">
        <f>ROUND(SUMPRODUCT(K95:Q95,Scoring_Weights!$E$5:$K$5)/Scoring_Weights!$B$12*20,0)</f>
        <v/>
      </c>
      <c r="S95" s="13">
        <f>IF(R95&gt;=Scoring_Weights!$B$15,"Tier 1",IF(R95&gt;=Scoring_Weights!$B$16,"Tier 2","Tier 3"))</f>
        <v/>
      </c>
      <c r="T95" s="6" t="inlineStr">
        <is>
          <t>IVP-level at operations</t>
        </is>
      </c>
      <c r="U95" s="6" t="inlineStr">
        <is>
          <t>Cold</t>
        </is>
      </c>
      <c r="V95" s="6" t="inlineStr"/>
      <c r="W95" s="6" t="inlineStr">
        <is>
          <t>Aviva Jan 2026</t>
        </is>
      </c>
    </row>
    <row r="96">
      <c r="A96" s="6" t="inlineStr">
        <is>
          <t>Nuveen (incl. Churchill, Arcmont, Glennmont)</t>
        </is>
      </c>
      <c r="B96" s="6" t="inlineStr">
        <is>
          <t>Cascade map - AUM &gt; US$100b</t>
        </is>
      </c>
      <c r="C96" s="6" t="inlineStr">
        <is>
          <t>New York / London</t>
        </is>
      </c>
      <c r="D96" s="6" t="inlineStr">
        <is>
          <t>Private capital; Arcmont Impact Lending; Glennmont energy transition</t>
        </is>
      </c>
      <c r="E96" s="6" t="inlineStr">
        <is>
          <t>n/a</t>
        </is>
      </c>
      <c r="F96" s="6" t="inlineStr">
        <is>
          <t>US$25m+</t>
        </is>
      </c>
      <c r="G96" s="6" t="inlineStr">
        <is>
          <t>Credit, infra equity</t>
        </is>
      </c>
      <c r="H96" s="6" t="inlineStr">
        <is>
          <t>Global</t>
        </is>
      </c>
      <c r="I96" s="6" t="inlineStr">
        <is>
          <t>Glennmont clean energy</t>
        </is>
      </c>
      <c r="J96" s="6" t="inlineStr">
        <is>
          <t>Unknown</t>
        </is>
      </c>
      <c r="K96" s="11" t="n">
        <v>2</v>
      </c>
      <c r="L96" s="11" t="n">
        <v>0</v>
      </c>
      <c r="M96" s="11" t="n">
        <v>2</v>
      </c>
      <c r="N96" s="11" t="n">
        <v>1</v>
      </c>
      <c r="O96" s="11" t="n">
        <v>3</v>
      </c>
      <c r="P96" s="11" t="n">
        <v>1</v>
      </c>
      <c r="Q96" s="11" t="n">
        <v>2</v>
      </c>
      <c r="R96" s="12">
        <f>ROUND(SUMPRODUCT(K96:Q96,Scoring_Weights!$E$5:$K$5)/Scoring_Weights!$B$12*20,0)</f>
        <v/>
      </c>
      <c r="S96" s="13">
        <f>IF(R96&gt;=Scoring_Weights!$B$15,"Tier 1",IF(R96&gt;=Scoring_Weights!$B$16,"Tier 2","Tier 3"))</f>
        <v/>
      </c>
      <c r="T96" s="6" t="inlineStr">
        <is>
          <t>Wave 2 - Glennmont / Arcmont Impact Lending</t>
        </is>
      </c>
      <c r="U96" s="6" t="inlineStr">
        <is>
          <t>Cold</t>
        </is>
      </c>
      <c r="V96" s="6" t="inlineStr"/>
      <c r="W96" s="6" t="inlineStr">
        <is>
          <t>Cascade map</t>
        </is>
      </c>
    </row>
    <row r="97">
      <c r="A97" s="6" t="inlineStr">
        <is>
          <t>Bain Capital (Credit / Special Situations)</t>
        </is>
      </c>
      <c r="B97" s="6" t="inlineStr">
        <is>
          <t>Cascade map - AUM &gt; US$100b</t>
        </is>
      </c>
      <c r="C97" s="6" t="inlineStr">
        <is>
          <t>Boston / London</t>
        </is>
      </c>
      <c r="D97" s="6" t="inlineStr">
        <is>
          <t>Special situations; Greek NPLs</t>
        </is>
      </c>
      <c r="E97" s="6" t="inlineStr">
        <is>
          <t>n/a</t>
        </is>
      </c>
      <c r="F97" s="6" t="inlineStr">
        <is>
          <t>€25m+</t>
        </is>
      </c>
      <c r="G97" s="6" t="inlineStr">
        <is>
          <t>Special sits</t>
        </is>
      </c>
      <c r="H97" s="6" t="inlineStr">
        <is>
          <t>Greek</t>
        </is>
      </c>
      <c r="I97" s="6" t="inlineStr">
        <is>
          <t>Real assets</t>
        </is>
      </c>
      <c r="J97" s="6" t="inlineStr">
        <is>
          <t>Unknown</t>
        </is>
      </c>
      <c r="K97" s="11" t="n">
        <v>3</v>
      </c>
      <c r="L97" s="11" t="n">
        <v>0</v>
      </c>
      <c r="M97" s="11" t="n">
        <v>2</v>
      </c>
      <c r="N97" s="11" t="n">
        <v>4</v>
      </c>
      <c r="O97" s="11" t="n">
        <v>4</v>
      </c>
      <c r="P97" s="11" t="n">
        <v>1</v>
      </c>
      <c r="Q97" s="11" t="n">
        <v>2</v>
      </c>
      <c r="R97" s="12">
        <f>ROUND(SUMPRODUCT(K97:Q97,Scoring_Weights!$E$5:$K$5)/Scoring_Weights!$B$12*20,0)</f>
        <v/>
      </c>
      <c r="S97" s="13">
        <f>IF(R97&gt;=Scoring_Weights!$B$15,"Tier 1",IF(R97&gt;=Scoring_Weights!$B$16,"Tier 2","Tier 3"))</f>
        <v/>
      </c>
      <c r="T97" s="6" t="inlineStr">
        <is>
          <t>IVP-level</t>
        </is>
      </c>
      <c r="U97" s="6" t="inlineStr">
        <is>
          <t>Cold</t>
        </is>
      </c>
      <c r="V97" s="6" t="inlineStr"/>
      <c r="W97" s="6" t="inlineStr">
        <is>
          <t>Bloomberg Law</t>
        </is>
      </c>
    </row>
    <row r="98">
      <c r="A98" s="6" t="inlineStr">
        <is>
          <t>Aegon Asset Management</t>
        </is>
      </c>
      <c r="B98" s="6" t="inlineStr">
        <is>
          <t>Cascade map - AUM &gt; US$100b</t>
        </is>
      </c>
      <c r="C98" s="6" t="inlineStr">
        <is>
          <t>The Hague / Edinburgh</t>
        </is>
      </c>
      <c r="D98" s="6" t="inlineStr">
        <is>
          <t>ABF, fund finance, private debt; UK LTAF</t>
        </is>
      </c>
      <c r="E98" s="6" t="inlineStr">
        <is>
          <t>n/a</t>
        </is>
      </c>
      <c r="F98" s="6" t="inlineStr">
        <is>
          <t>€25m+</t>
        </is>
      </c>
      <c r="G98" s="6" t="inlineStr">
        <is>
          <t>ABF, fund finance</t>
        </is>
      </c>
      <c r="H98" s="6" t="inlineStr">
        <is>
          <t>Europe</t>
        </is>
      </c>
      <c r="I98" s="6" t="inlineStr">
        <is>
          <t>No</t>
        </is>
      </c>
      <c r="J98" s="6" t="inlineStr">
        <is>
          <t>Unknown</t>
        </is>
      </c>
      <c r="K98" s="11" t="n">
        <v>1</v>
      </c>
      <c r="L98" s="11" t="n">
        <v>0</v>
      </c>
      <c r="M98" s="11" t="n">
        <v>2</v>
      </c>
      <c r="N98" s="11" t="n">
        <v>1</v>
      </c>
      <c r="O98" s="11" t="n">
        <v>2</v>
      </c>
      <c r="P98" s="11" t="n">
        <v>1</v>
      </c>
      <c r="Q98" s="11" t="n">
        <v>2</v>
      </c>
      <c r="R98" s="12">
        <f>ROUND(SUMPRODUCT(K98:Q98,Scoring_Weights!$E$5:$K$5)/Scoring_Weights!$B$12*20,0)</f>
        <v/>
      </c>
      <c r="S98" s="13">
        <f>IF(R98&gt;=Scoring_Weights!$B$15,"Tier 1",IF(R98&gt;=Scoring_Weights!$B$16,"Tier 2","Tier 3"))</f>
        <v/>
      </c>
      <c r="T98" s="6" t="inlineStr">
        <is>
          <t>Tier 3</t>
        </is>
      </c>
      <c r="U98" s="6" t="inlineStr">
        <is>
          <t>Cold</t>
        </is>
      </c>
      <c r="V98" s="6" t="inlineStr"/>
      <c r="W98" s="6" t="inlineStr">
        <is>
          <t>Cascade map</t>
        </is>
      </c>
    </row>
    <row r="99">
      <c r="A99" s="6" t="inlineStr">
        <is>
          <t>Janus Henderson</t>
        </is>
      </c>
      <c r="B99" s="6" t="inlineStr">
        <is>
          <t>Cascade map - AUM &gt; US$100b</t>
        </is>
      </c>
      <c r="C99" s="6" t="inlineStr">
        <is>
          <t>London / Denver</t>
        </is>
      </c>
      <c r="D99" s="6" t="inlineStr">
        <is>
          <t>Securitised / ABF (Victory Park acquisition)</t>
        </is>
      </c>
      <c r="E99" s="6" t="inlineStr">
        <is>
          <t>n/a</t>
        </is>
      </c>
      <c r="F99" s="6" t="inlineStr">
        <is>
          <t>US$25m+</t>
        </is>
      </c>
      <c r="G99" s="6" t="inlineStr">
        <is>
          <t>ABF</t>
        </is>
      </c>
      <c r="H99" s="6" t="inlineStr">
        <is>
          <t>Global</t>
        </is>
      </c>
      <c r="I99" s="6" t="inlineStr">
        <is>
          <t>No</t>
        </is>
      </c>
      <c r="J99" s="6" t="inlineStr">
        <is>
          <t>Unknown</t>
        </is>
      </c>
      <c r="K99" s="11" t="n">
        <v>0</v>
      </c>
      <c r="L99" s="11" t="n">
        <v>0</v>
      </c>
      <c r="M99" s="11" t="n">
        <v>1</v>
      </c>
      <c r="N99" s="11" t="n">
        <v>0</v>
      </c>
      <c r="O99" s="11" t="n">
        <v>2</v>
      </c>
      <c r="P99" s="11" t="n">
        <v>1</v>
      </c>
      <c r="Q99" s="11" t="n">
        <v>1</v>
      </c>
      <c r="R99" s="12">
        <f>ROUND(SUMPRODUCT(K99:Q99,Scoring_Weights!$E$5:$K$5)/Scoring_Weights!$B$12*20,0)</f>
        <v/>
      </c>
      <c r="S99" s="13">
        <f>IF(R99&gt;=Scoring_Weights!$B$15,"Tier 1",IF(R99&gt;=Scoring_Weights!$B$16,"Tier 2","Tier 3"))</f>
        <v/>
      </c>
      <c r="T99" s="6" t="inlineStr">
        <is>
          <t>Not relevant</t>
        </is>
      </c>
      <c r="U99" s="6" t="inlineStr">
        <is>
          <t>n/a</t>
        </is>
      </c>
      <c r="V99" s="6" t="inlineStr"/>
      <c r="W99" s="6" t="inlineStr">
        <is>
          <t>Cascade map</t>
        </is>
      </c>
    </row>
    <row r="100">
      <c r="A100" s="6" t="inlineStr">
        <is>
          <t>Blue Owl</t>
        </is>
      </c>
      <c r="B100" s="6" t="inlineStr">
        <is>
          <t>Cascade map - AUM &gt; US$100b</t>
        </is>
      </c>
      <c r="C100" s="6" t="inlineStr">
        <is>
          <t>New York / London</t>
        </is>
      </c>
      <c r="D100" s="6" t="inlineStr">
        <is>
          <t>Direct lending, ABF (semi-liquid redemption strains 2026)</t>
        </is>
      </c>
      <c r="E100" s="6" t="inlineStr">
        <is>
          <t>n/a</t>
        </is>
      </c>
      <c r="F100" s="6" t="inlineStr">
        <is>
          <t>US$50m+</t>
        </is>
      </c>
      <c r="G100" s="6" t="inlineStr">
        <is>
          <t>DL, ABF</t>
        </is>
      </c>
      <c r="H100" s="6" t="inlineStr">
        <is>
          <t>Global</t>
        </is>
      </c>
      <c r="I100" s="6" t="inlineStr">
        <is>
          <t>No</t>
        </is>
      </c>
      <c r="J100" s="6" t="inlineStr">
        <is>
          <t>Unknown</t>
        </is>
      </c>
      <c r="K100" s="11" t="n">
        <v>0</v>
      </c>
      <c r="L100" s="11" t="n">
        <v>0</v>
      </c>
      <c r="M100" s="11" t="n">
        <v>1</v>
      </c>
      <c r="N100" s="11" t="n">
        <v>0</v>
      </c>
      <c r="O100" s="11" t="n">
        <v>2</v>
      </c>
      <c r="P100" s="11" t="n">
        <v>1</v>
      </c>
      <c r="Q100" s="11" t="n">
        <v>1</v>
      </c>
      <c r="R100" s="12">
        <f>ROUND(SUMPRODUCT(K100:Q100,Scoring_Weights!$E$5:$K$5)/Scoring_Weights!$B$12*20,0)</f>
        <v/>
      </c>
      <c r="S100" s="13">
        <f>IF(R100&gt;=Scoring_Weights!$B$15,"Tier 1",IF(R100&gt;=Scoring_Weights!$B$16,"Tier 2","Tier 3"))</f>
        <v/>
      </c>
      <c r="T100" s="6" t="inlineStr">
        <is>
          <t>Not relevant</t>
        </is>
      </c>
      <c r="U100" s="6" t="inlineStr">
        <is>
          <t>n/a</t>
        </is>
      </c>
      <c r="V100" s="6" t="inlineStr"/>
      <c r="W100" s="6" t="inlineStr">
        <is>
          <t>ESMA Sept 2026 via IPE</t>
        </is>
      </c>
    </row>
    <row r="101">
      <c r="A101" s="6" t="inlineStr">
        <is>
          <t>Allspring</t>
        </is>
      </c>
      <c r="B101" s="6" t="inlineStr">
        <is>
          <t>Cascade map - AUM &gt; US$100b</t>
        </is>
      </c>
      <c r="C101" s="6" t="inlineStr">
        <is>
          <t>Charlotte / London</t>
        </is>
      </c>
      <c r="D101" s="6" t="inlineStr">
        <is>
          <t>Private credit</t>
        </is>
      </c>
      <c r="E101" s="6" t="inlineStr">
        <is>
          <t>n/a</t>
        </is>
      </c>
      <c r="F101" s="6" t="inlineStr">
        <is>
          <t>n/a</t>
        </is>
      </c>
      <c r="G101" s="6" t="inlineStr">
        <is>
          <t>Credit</t>
        </is>
      </c>
      <c r="H101" s="6" t="inlineStr">
        <is>
          <t>US / Europe</t>
        </is>
      </c>
      <c r="I101" s="6" t="inlineStr">
        <is>
          <t>No</t>
        </is>
      </c>
      <c r="J101" s="6" t="inlineStr">
        <is>
          <t>Unknown</t>
        </is>
      </c>
      <c r="K101" s="11" t="n">
        <v>0</v>
      </c>
      <c r="L101" s="11" t="n">
        <v>0</v>
      </c>
      <c r="M101" s="11" t="n">
        <v>1</v>
      </c>
      <c r="N101" s="11" t="n">
        <v>0</v>
      </c>
      <c r="O101" s="11" t="n">
        <v>1</v>
      </c>
      <c r="P101" s="11" t="n">
        <v>1</v>
      </c>
      <c r="Q101" s="11" t="n">
        <v>1</v>
      </c>
      <c r="R101" s="12">
        <f>ROUND(SUMPRODUCT(K101:Q101,Scoring_Weights!$E$5:$K$5)/Scoring_Weights!$B$12*20,0)</f>
        <v/>
      </c>
      <c r="S101" s="13">
        <f>IF(R101&gt;=Scoring_Weights!$B$15,"Tier 1",IF(R101&gt;=Scoring_Weights!$B$16,"Tier 2","Tier 3"))</f>
        <v/>
      </c>
      <c r="T101" s="6" t="inlineStr">
        <is>
          <t>Not relevant</t>
        </is>
      </c>
      <c r="U101" s="6" t="inlineStr">
        <is>
          <t>n/a</t>
        </is>
      </c>
      <c r="V101" s="6" t="inlineStr"/>
      <c r="W101" s="6" t="inlineStr">
        <is>
          <t>Cascade map</t>
        </is>
      </c>
    </row>
    <row r="102">
      <c r="A102" s="6" t="inlineStr">
        <is>
          <t>Loomis Sayles</t>
        </is>
      </c>
      <c r="B102" s="6" t="inlineStr">
        <is>
          <t>Cascade map - AUM &gt; US$100b</t>
        </is>
      </c>
      <c r="C102" s="6" t="inlineStr">
        <is>
          <t>Boston / London</t>
        </is>
      </c>
      <c r="D102" s="6" t="inlineStr">
        <is>
          <t>Private credit / ABF</t>
        </is>
      </c>
      <c r="E102" s="6" t="inlineStr">
        <is>
          <t>n/a</t>
        </is>
      </c>
      <c r="F102" s="6" t="inlineStr">
        <is>
          <t>n/a</t>
        </is>
      </c>
      <c r="G102" s="6" t="inlineStr">
        <is>
          <t>Credit</t>
        </is>
      </c>
      <c r="H102" s="6" t="inlineStr">
        <is>
          <t>Global</t>
        </is>
      </c>
      <c r="I102" s="6" t="inlineStr">
        <is>
          <t>No</t>
        </is>
      </c>
      <c r="J102" s="6" t="inlineStr">
        <is>
          <t>Unknown</t>
        </is>
      </c>
      <c r="K102" s="11" t="n">
        <v>0</v>
      </c>
      <c r="L102" s="11" t="n">
        <v>0</v>
      </c>
      <c r="M102" s="11" t="n">
        <v>1</v>
      </c>
      <c r="N102" s="11" t="n">
        <v>0</v>
      </c>
      <c r="O102" s="11" t="n">
        <v>1</v>
      </c>
      <c r="P102" s="11" t="n">
        <v>1</v>
      </c>
      <c r="Q102" s="11" t="n">
        <v>1</v>
      </c>
      <c r="R102" s="12">
        <f>ROUND(SUMPRODUCT(K102:Q102,Scoring_Weights!$E$5:$K$5)/Scoring_Weights!$B$12*20,0)</f>
        <v/>
      </c>
      <c r="S102" s="13">
        <f>IF(R102&gt;=Scoring_Weights!$B$15,"Tier 1",IF(R102&gt;=Scoring_Weights!$B$16,"Tier 2","Tier 3"))</f>
        <v/>
      </c>
      <c r="T102" s="6" t="inlineStr">
        <is>
          <t>Not relevant</t>
        </is>
      </c>
      <c r="U102" s="6" t="inlineStr">
        <is>
          <t>n/a</t>
        </is>
      </c>
      <c r="V102" s="6" t="inlineStr"/>
      <c r="W102" s="6" t="inlineStr">
        <is>
          <t>Cascade map</t>
        </is>
      </c>
    </row>
    <row r="103">
      <c r="A103" s="6" t="inlineStr">
        <is>
          <t>Neuberger Berman</t>
        </is>
      </c>
      <c r="B103" s="6" t="inlineStr">
        <is>
          <t>Cascade map - AUM &gt; US$100b</t>
        </is>
      </c>
      <c r="C103" s="6" t="inlineStr">
        <is>
          <t>New York / London</t>
        </is>
      </c>
      <c r="D103" s="6" t="inlineStr">
        <is>
          <t>Private credit, specialty finance, NAV</t>
        </is>
      </c>
      <c r="E103" s="6" t="inlineStr">
        <is>
          <t>n/a</t>
        </is>
      </c>
      <c r="F103" s="6" t="inlineStr">
        <is>
          <t>US$25m+</t>
        </is>
      </c>
      <c r="G103" s="6" t="inlineStr">
        <is>
          <t>Credit, NAV</t>
        </is>
      </c>
      <c r="H103" s="6" t="inlineStr">
        <is>
          <t>Global</t>
        </is>
      </c>
      <c r="I103" s="6" t="inlineStr">
        <is>
          <t>No</t>
        </is>
      </c>
      <c r="J103" s="6" t="inlineStr">
        <is>
          <t>Excluded</t>
        </is>
      </c>
      <c r="K103" s="11" t="n">
        <v>1</v>
      </c>
      <c r="L103" s="11" t="n">
        <v>0</v>
      </c>
      <c r="M103" s="11" t="n">
        <v>2</v>
      </c>
      <c r="N103" s="11" t="n">
        <v>0</v>
      </c>
      <c r="O103" s="11" t="n">
        <v>2</v>
      </c>
      <c r="P103" s="11" t="n">
        <v>1</v>
      </c>
      <c r="Q103" s="11" t="n">
        <v>2</v>
      </c>
      <c r="R103" s="12">
        <f>ROUND(SUMPRODUCT(K103:Q103,Scoring_Weights!$E$5:$K$5)/Scoring_Weights!$B$12*20,0)</f>
        <v/>
      </c>
      <c r="S103" s="13">
        <f>IF(R103&gt;=Scoring_Weights!$B$15,"Tier 1",IF(R103&gt;=Scoring_Weights!$B$16,"Tier 2","Tier 3"))</f>
        <v/>
      </c>
      <c r="T103" s="6" t="inlineStr">
        <is>
          <t>Tier 3</t>
        </is>
      </c>
      <c r="U103" s="6" t="inlineStr">
        <is>
          <t>Cold</t>
        </is>
      </c>
      <c r="V103" s="6" t="inlineStr"/>
      <c r="W103" s="6" t="inlineStr">
        <is>
          <t>Cascade map</t>
        </is>
      </c>
    </row>
    <row r="104">
      <c r="A104" s="6" t="inlineStr">
        <is>
          <t>M&amp;G Investments (incl. Infracapital)</t>
        </is>
      </c>
      <c r="B104" s="6" t="inlineStr">
        <is>
          <t>Cascade map - AUM &gt; US$100b</t>
        </is>
      </c>
      <c r="C104" s="6" t="inlineStr">
        <is>
          <t>London</t>
        </is>
      </c>
      <c r="D104" s="6" t="inlineStr">
        <is>
          <t>Private credit, infra debt; Infracapital equity; UK LTAF</t>
        </is>
      </c>
      <c r="E104" s="6" t="inlineStr">
        <is>
          <t>n/a</t>
        </is>
      </c>
      <c r="F104" s="6" t="inlineStr">
        <is>
          <t>£25m+</t>
        </is>
      </c>
      <c r="G104" s="6" t="inlineStr">
        <is>
          <t>Private debt, infra</t>
        </is>
      </c>
      <c r="H104" s="6" t="inlineStr">
        <is>
          <t>UK / Europe</t>
        </is>
      </c>
      <c r="I104" s="6" t="inlineStr">
        <is>
          <t>Infrastructure</t>
        </is>
      </c>
      <c r="J104" s="6" t="inlineStr">
        <is>
          <t>Unknown</t>
        </is>
      </c>
      <c r="K104" s="11" t="n">
        <v>2</v>
      </c>
      <c r="L104" s="11" t="n">
        <v>0</v>
      </c>
      <c r="M104" s="11" t="n">
        <v>2</v>
      </c>
      <c r="N104" s="11" t="n">
        <v>1</v>
      </c>
      <c r="O104" s="11" t="n">
        <v>2</v>
      </c>
      <c r="P104" s="11" t="n">
        <v>1</v>
      </c>
      <c r="Q104" s="11" t="n">
        <v>2</v>
      </c>
      <c r="R104" s="12">
        <f>ROUND(SUMPRODUCT(K104:Q104,Scoring_Weights!$E$5:$K$5)/Scoring_Weights!$B$12*20,0)</f>
        <v/>
      </c>
      <c r="S104" s="13">
        <f>IF(R104&gt;=Scoring_Weights!$B$15,"Tier 1",IF(R104&gt;=Scoring_Weights!$B$16,"Tier 2","Tier 3"))</f>
        <v/>
      </c>
      <c r="T104" s="6" t="inlineStr">
        <is>
          <t>Wave 2 - Infracapital at operations</t>
        </is>
      </c>
      <c r="U104" s="6" t="inlineStr">
        <is>
          <t>Cold</t>
        </is>
      </c>
      <c r="V104" s="6" t="inlineStr"/>
      <c r="W104" s="6" t="inlineStr">
        <is>
          <t>M&amp;G press Apr 2026</t>
        </is>
      </c>
    </row>
    <row r="105">
      <c r="A105" s="6" t="inlineStr">
        <is>
          <t>Apollo Global Management</t>
        </is>
      </c>
      <c r="B105" s="6" t="inlineStr">
        <is>
          <t>Cascade map - AUM &gt; US$100b</t>
        </is>
      </c>
      <c r="C105" s="6" t="inlineStr">
        <is>
          <t>New York / London</t>
        </is>
      </c>
      <c r="D105" s="6" t="inlineStr">
        <is>
          <t>Hybrid Value, ABF (Luxembourg ABF fund 2026), infra credit; BNP Paribas tie-up</t>
        </is>
      </c>
      <c r="E105" s="6" t="inlineStr">
        <is>
          <t>n/a</t>
        </is>
      </c>
      <c r="F105" s="6" t="inlineStr">
        <is>
          <t>US$50m+</t>
        </is>
      </c>
      <c r="G105" s="6" t="inlineStr">
        <is>
          <t>Hybrid, ABF, infra</t>
        </is>
      </c>
      <c r="H105" s="6" t="inlineStr">
        <is>
          <t>Global; Greek NPL history</t>
        </is>
      </c>
      <c r="I105" s="6" t="inlineStr">
        <is>
          <t>Yes (large)</t>
        </is>
      </c>
      <c r="J105" s="6" t="inlineStr">
        <is>
          <t>Unknown</t>
        </is>
      </c>
      <c r="K105" s="11" t="n">
        <v>2</v>
      </c>
      <c r="L105" s="11" t="n">
        <v>0</v>
      </c>
      <c r="M105" s="11" t="n">
        <v>1</v>
      </c>
      <c r="N105" s="11" t="n">
        <v>2</v>
      </c>
      <c r="O105" s="11" t="n">
        <v>4</v>
      </c>
      <c r="P105" s="11" t="n">
        <v>1</v>
      </c>
      <c r="Q105" s="11" t="n">
        <v>1</v>
      </c>
      <c r="R105" s="12">
        <f>ROUND(SUMPRODUCT(K105:Q105,Scoring_Weights!$E$5:$K$5)/Scoring_Weights!$B$12*20,0)</f>
        <v/>
      </c>
      <c r="S105" s="13">
        <f>IF(R105&gt;=Scoring_Weights!$B$15,"Tier 1",IF(R105&gt;=Scoring_Weights!$B$16,"Tier 2","Tier 3"))</f>
        <v/>
      </c>
      <c r="T105" s="6" t="inlineStr">
        <is>
          <t>IVP-level (Hybrid Value)</t>
        </is>
      </c>
      <c r="U105" s="6" t="inlineStr">
        <is>
          <t>Cold</t>
        </is>
      </c>
      <c r="V105" s="6" t="inlineStr"/>
      <c r="W105" s="6" t="inlineStr">
        <is>
          <t>Apollo 2026 outlook; Bloomberg</t>
        </is>
      </c>
    </row>
    <row r="106">
      <c r="A106" s="6" t="inlineStr">
        <is>
          <t>DWS</t>
        </is>
      </c>
      <c r="B106" s="6" t="inlineStr">
        <is>
          <t>Cascade map - AUM &gt; US$100b</t>
        </is>
      </c>
      <c r="C106" s="6" t="inlineStr">
        <is>
          <t>Frankfurt</t>
        </is>
      </c>
      <c r="D106" s="6" t="inlineStr">
        <is>
          <t>Infrastructure, private credit, ELTIF</t>
        </is>
      </c>
      <c r="E106" s="6" t="inlineStr">
        <is>
          <t>n/a</t>
        </is>
      </c>
      <c r="F106" s="6" t="inlineStr">
        <is>
          <t>€25m+</t>
        </is>
      </c>
      <c r="G106" s="6" t="inlineStr">
        <is>
          <t>Infra debt</t>
        </is>
      </c>
      <c r="H106" s="6" t="inlineStr">
        <is>
          <t>Europe</t>
        </is>
      </c>
      <c r="I106" s="6" t="inlineStr">
        <is>
          <t>Infrastructure</t>
        </is>
      </c>
      <c r="J106" s="6" t="inlineStr">
        <is>
          <t>Unknown</t>
        </is>
      </c>
      <c r="K106" s="11" t="n">
        <v>2</v>
      </c>
      <c r="L106" s="11" t="n">
        <v>0</v>
      </c>
      <c r="M106" s="11" t="n">
        <v>2</v>
      </c>
      <c r="N106" s="11" t="n">
        <v>1</v>
      </c>
      <c r="O106" s="11" t="n">
        <v>2</v>
      </c>
      <c r="P106" s="11" t="n">
        <v>1</v>
      </c>
      <c r="Q106" s="11" t="n">
        <v>2</v>
      </c>
      <c r="R106" s="12">
        <f>ROUND(SUMPRODUCT(K106:Q106,Scoring_Weights!$E$5:$K$5)/Scoring_Weights!$B$12*20,0)</f>
        <v/>
      </c>
      <c r="S106" s="13">
        <f>IF(R106&gt;=Scoring_Weights!$B$15,"Tier 1",IF(R106&gt;=Scoring_Weights!$B$16,"Tier 2","Tier 3"))</f>
        <v/>
      </c>
      <c r="T106" s="6" t="inlineStr">
        <is>
          <t>Wave 2 - infra debt at operations</t>
        </is>
      </c>
      <c r="U106" s="6" t="inlineStr">
        <is>
          <t>Cold</t>
        </is>
      </c>
      <c r="V106" s="6" t="inlineStr"/>
      <c r="W106" s="6" t="inlineStr">
        <is>
          <t>Cascade map</t>
        </is>
      </c>
    </row>
    <row r="107">
      <c r="A107" s="6" t="inlineStr">
        <is>
          <t>MEAG (Munich Re)</t>
        </is>
      </c>
      <c r="B107" s="6" t="inlineStr">
        <is>
          <t>Cascade map - AUM &gt; US$100b</t>
        </is>
      </c>
      <c r="C107" s="6" t="inlineStr">
        <is>
          <t>Munich</t>
        </is>
      </c>
      <c r="D107" s="6" t="inlineStr">
        <is>
          <t>Infrastructure debt, private credit (insurer-owned)</t>
        </is>
      </c>
      <c r="E107" s="6" t="inlineStr">
        <is>
          <t>n/a</t>
        </is>
      </c>
      <c r="F107" s="6" t="inlineStr">
        <is>
          <t>€25m+</t>
        </is>
      </c>
      <c r="G107" s="6" t="inlineStr">
        <is>
          <t>Infra debt</t>
        </is>
      </c>
      <c r="H107" s="6" t="inlineStr">
        <is>
          <t>Europe</t>
        </is>
      </c>
      <c r="I107" s="6" t="inlineStr">
        <is>
          <t>Infrastructure debt</t>
        </is>
      </c>
      <c r="J107" s="6" t="inlineStr">
        <is>
          <t>Unknown</t>
        </is>
      </c>
      <c r="K107" s="11" t="n">
        <v>2</v>
      </c>
      <c r="L107" s="11" t="n">
        <v>0</v>
      </c>
      <c r="M107" s="11" t="n">
        <v>2</v>
      </c>
      <c r="N107" s="11" t="n">
        <v>1</v>
      </c>
      <c r="O107" s="11" t="n">
        <v>2</v>
      </c>
      <c r="P107" s="11" t="n">
        <v>1</v>
      </c>
      <c r="Q107" s="11" t="n">
        <v>2</v>
      </c>
      <c r="R107" s="12">
        <f>ROUND(SUMPRODUCT(K107:Q107,Scoring_Weights!$E$5:$K$5)/Scoring_Weights!$B$12*20,0)</f>
        <v/>
      </c>
      <c r="S107" s="13">
        <f>IF(R107&gt;=Scoring_Weights!$B$15,"Tier 1",IF(R107&gt;=Scoring_Weights!$B$16,"Tier 2","Tier 3"))</f>
        <v/>
      </c>
      <c r="T107" s="6" t="inlineStr">
        <is>
          <t>Wave 2; note Munich Re withdrew technology performance insurance (Feb 2026)</t>
        </is>
      </c>
      <c r="U107" s="6" t="inlineStr">
        <is>
          <t>Cold</t>
        </is>
      </c>
      <c r="V107" s="6" t="inlineStr"/>
      <c r="W107" s="6" t="inlineStr">
        <is>
          <t>Outlook EIB thread 12-02-2026</t>
        </is>
      </c>
    </row>
    <row r="108">
      <c r="A108" s="6" t="inlineStr">
        <is>
          <t>BlackRock (incl. HPS, Kreos)</t>
        </is>
      </c>
      <c r="B108" s="6" t="inlineStr">
        <is>
          <t>Cascade map - AUM &gt; US$100b</t>
        </is>
      </c>
      <c r="C108" s="6" t="inlineStr">
        <is>
          <t>New York / London</t>
        </is>
      </c>
      <c r="D108" s="6" t="inlineStr">
        <is>
          <t>Private credit, infra, Kreos venture debt; BlackRock FMA advising Greek SWF</t>
        </is>
      </c>
      <c r="E108" s="6" t="inlineStr">
        <is>
          <t>n/a</t>
        </is>
      </c>
      <c r="F108" s="6" t="inlineStr">
        <is>
          <t>US$25m+</t>
        </is>
      </c>
      <c r="G108" s="6" t="inlineStr">
        <is>
          <t>All</t>
        </is>
      </c>
      <c r="H108" s="6" t="inlineStr">
        <is>
          <t>Global</t>
        </is>
      </c>
      <c r="I108" s="6" t="inlineStr">
        <is>
          <t>Yes</t>
        </is>
      </c>
      <c r="J108" s="6" t="inlineStr">
        <is>
          <t>Unknown</t>
        </is>
      </c>
      <c r="K108" s="11" t="n">
        <v>2</v>
      </c>
      <c r="L108" s="11" t="n">
        <v>1</v>
      </c>
      <c r="M108" s="11" t="n">
        <v>2</v>
      </c>
      <c r="N108" s="11" t="n">
        <v>2</v>
      </c>
      <c r="O108" s="11" t="n">
        <v>3</v>
      </c>
      <c r="P108" s="11" t="n">
        <v>1</v>
      </c>
      <c r="Q108" s="11" t="n">
        <v>1</v>
      </c>
      <c r="R108" s="12">
        <f>ROUND(SUMPRODUCT(K108:Q108,Scoring_Weights!$E$5:$K$5)/Scoring_Weights!$B$12*20,0)</f>
        <v/>
      </c>
      <c r="S108" s="13">
        <f>IF(R108&gt;=Scoring_Weights!$B$15,"Tier 1",IF(R108&gt;=Scoring_Weights!$B$16,"Tier 2","Tier 3"))</f>
        <v/>
      </c>
      <c r="T108" s="6" t="inlineStr">
        <is>
          <t>Via Kreos (venture debt) only</t>
        </is>
      </c>
      <c r="U108" s="6" t="inlineStr">
        <is>
          <t>Cold</t>
        </is>
      </c>
      <c r="V108" s="6" t="inlineStr"/>
      <c r="W108" s="6" t="inlineStr">
        <is>
          <t>Cascade map</t>
        </is>
      </c>
    </row>
    <row r="109">
      <c r="A109" s="6" t="inlineStr">
        <is>
          <t>Ares Management</t>
        </is>
      </c>
      <c r="B109" s="6" t="inlineStr">
        <is>
          <t>Cascade map - AUM &gt; US$100b</t>
        </is>
      </c>
      <c r="C109" s="6" t="inlineStr">
        <is>
          <t>Los Angeles / London</t>
        </is>
      </c>
      <c r="D109" s="6" t="inlineStr">
        <is>
          <t>ACE VI €17.1b; infrastructure debt; NAV; #1 European DL H1 2026</t>
        </is>
      </c>
      <c r="E109" s="6" t="inlineStr">
        <is>
          <t>€17.1b</t>
        </is>
      </c>
      <c r="F109" s="6" t="inlineStr">
        <is>
          <t>€30m+</t>
        </is>
      </c>
      <c r="G109" s="6" t="inlineStr">
        <is>
          <t>All</t>
        </is>
      </c>
      <c r="H109" s="6" t="inlineStr">
        <is>
          <t>Pan-European</t>
        </is>
      </c>
      <c r="I109" s="6" t="inlineStr">
        <is>
          <t>Infrastructure debt</t>
        </is>
      </c>
      <c r="J109" s="6" t="inlineStr">
        <is>
          <t>Unknown</t>
        </is>
      </c>
      <c r="K109" s="11" t="n">
        <v>2</v>
      </c>
      <c r="L109" s="11" t="n">
        <v>0</v>
      </c>
      <c r="M109" s="11" t="n">
        <v>1</v>
      </c>
      <c r="N109" s="11" t="n">
        <v>2</v>
      </c>
      <c r="O109" s="11" t="n">
        <v>3</v>
      </c>
      <c r="P109" s="11" t="n">
        <v>1</v>
      </c>
      <c r="Q109" s="11" t="n">
        <v>1</v>
      </c>
      <c r="R109" s="12">
        <f>ROUND(SUMPRODUCT(K109:Q109,Scoring_Weights!$E$5:$K$5)/Scoring_Weights!$B$12*20,0)</f>
        <v/>
      </c>
      <c r="S109" s="13">
        <f>IF(R109&gt;=Scoring_Weights!$B$15,"Tier 1",IF(R109&gt;=Scoring_Weights!$B$16,"Tier 2","Tier 3"))</f>
        <v/>
      </c>
      <c r="T109" s="6" t="inlineStr">
        <is>
          <t>IVP-level</t>
        </is>
      </c>
      <c r="U109" s="6" t="inlineStr">
        <is>
          <t>Cold</t>
        </is>
      </c>
      <c r="V109" s="6" t="inlineStr"/>
      <c r="W109" s="6" t="inlineStr">
        <is>
          <t>PDI Jan 2025</t>
        </is>
      </c>
    </row>
    <row r="110">
      <c r="A110" s="6" t="inlineStr">
        <is>
          <t>PGIM</t>
        </is>
      </c>
      <c r="B110" s="6" t="inlineStr">
        <is>
          <t>Cascade map - AUM &gt; US$100b</t>
        </is>
      </c>
      <c r="C110" s="6" t="inlineStr">
        <is>
          <t>Newark / London</t>
        </is>
      </c>
      <c r="D110" s="6" t="inlineStr">
        <is>
          <t>Private credit, infra debt, ABF</t>
        </is>
      </c>
      <c r="E110" s="6" t="inlineStr">
        <is>
          <t>n/a</t>
        </is>
      </c>
      <c r="F110" s="6" t="inlineStr">
        <is>
          <t>US$25m+</t>
        </is>
      </c>
      <c r="G110" s="6" t="inlineStr">
        <is>
          <t>Infra debt</t>
        </is>
      </c>
      <c r="H110" s="6" t="inlineStr">
        <is>
          <t>Global</t>
        </is>
      </c>
      <c r="I110" s="6" t="inlineStr">
        <is>
          <t>Infrastructure debt</t>
        </is>
      </c>
      <c r="J110" s="6" t="inlineStr">
        <is>
          <t>Unknown</t>
        </is>
      </c>
      <c r="K110" s="11" t="n">
        <v>2</v>
      </c>
      <c r="L110" s="11" t="n">
        <v>0</v>
      </c>
      <c r="M110" s="11" t="n">
        <v>2</v>
      </c>
      <c r="N110" s="11" t="n">
        <v>1</v>
      </c>
      <c r="O110" s="11" t="n">
        <v>2</v>
      </c>
      <c r="P110" s="11" t="n">
        <v>1</v>
      </c>
      <c r="Q110" s="11" t="n">
        <v>2</v>
      </c>
      <c r="R110" s="12">
        <f>ROUND(SUMPRODUCT(K110:Q110,Scoring_Weights!$E$5:$K$5)/Scoring_Weights!$B$12*20,0)</f>
        <v/>
      </c>
      <c r="S110" s="13">
        <f>IF(R110&gt;=Scoring_Weights!$B$15,"Tier 1",IF(R110&gt;=Scoring_Weights!$B$16,"Tier 2","Tier 3"))</f>
        <v/>
      </c>
      <c r="T110" s="6" t="inlineStr">
        <is>
          <t>Wave 2 - infra debt at operations</t>
        </is>
      </c>
      <c r="U110" s="6" t="inlineStr">
        <is>
          <t>Cold</t>
        </is>
      </c>
      <c r="V110" s="6" t="inlineStr"/>
      <c r="W110" s="6" t="inlineStr">
        <is>
          <t>Cascade map</t>
        </is>
      </c>
    </row>
    <row r="111">
      <c r="A111" s="6" t="inlineStr">
        <is>
          <t>AllianceBernstein (AB CarVal, AB Private Credit)</t>
        </is>
      </c>
      <c r="B111" s="6" t="inlineStr">
        <is>
          <t>Cascade map - AUM &gt; US$100b</t>
        </is>
      </c>
      <c r="C111" s="6" t="inlineStr">
        <is>
          <t>Nashville / London</t>
        </is>
      </c>
      <c r="D111" s="6" t="inlineStr">
        <is>
          <t>Private credit, ABF, clean energy (CarVal)</t>
        </is>
      </c>
      <c r="E111" s="6" t="inlineStr">
        <is>
          <t>n/a</t>
        </is>
      </c>
      <c r="F111" s="6" t="inlineStr">
        <is>
          <t>US$25m+</t>
        </is>
      </c>
      <c r="G111" s="6" t="inlineStr">
        <is>
          <t>Credit, energy</t>
        </is>
      </c>
      <c r="H111" s="6" t="inlineStr">
        <is>
          <t>Global</t>
        </is>
      </c>
      <c r="I111" s="6" t="inlineStr">
        <is>
          <t>Clean energy infra</t>
        </is>
      </c>
      <c r="J111" s="6" t="inlineStr">
        <is>
          <t>Unknown</t>
        </is>
      </c>
      <c r="K111" s="11" t="n">
        <v>2</v>
      </c>
      <c r="L111" s="11" t="n">
        <v>0</v>
      </c>
      <c r="M111" s="11" t="n">
        <v>2</v>
      </c>
      <c r="N111" s="11" t="n">
        <v>1</v>
      </c>
      <c r="O111" s="11" t="n">
        <v>3</v>
      </c>
      <c r="P111" s="11" t="n">
        <v>1</v>
      </c>
      <c r="Q111" s="11" t="n">
        <v>2</v>
      </c>
      <c r="R111" s="12">
        <f>ROUND(SUMPRODUCT(K111:Q111,Scoring_Weights!$E$5:$K$5)/Scoring_Weights!$B$12*20,0)</f>
        <v/>
      </c>
      <c r="S111" s="13">
        <f>IF(R111&gt;=Scoring_Weights!$B$15,"Tier 1",IF(R111&gt;=Scoring_Weights!$B$16,"Tier 2","Tier 3"))</f>
        <v/>
      </c>
      <c r="T111" s="6" t="inlineStr">
        <is>
          <t>Wave 2 via CarVal</t>
        </is>
      </c>
      <c r="U111" s="6" t="inlineStr">
        <is>
          <t>Cold</t>
        </is>
      </c>
      <c r="V111" s="6" t="inlineStr"/>
      <c r="W111" s="6" t="inlineStr">
        <is>
          <t>Cascade map</t>
        </is>
      </c>
    </row>
    <row r="112">
      <c r="A112" s="6" t="inlineStr">
        <is>
          <t>Fidelity International</t>
        </is>
      </c>
      <c r="B112" s="6" t="inlineStr">
        <is>
          <t>Cascade map - AUM &gt; US$100b</t>
        </is>
      </c>
      <c r="C112" s="6" t="inlineStr">
        <is>
          <t>London</t>
        </is>
      </c>
      <c r="D112" s="6" t="inlineStr">
        <is>
          <t>Private credit, ELTIF</t>
        </is>
      </c>
      <c r="E112" s="6" t="inlineStr">
        <is>
          <t>n/a</t>
        </is>
      </c>
      <c r="F112" s="6" t="inlineStr">
        <is>
          <t>€25m+</t>
        </is>
      </c>
      <c r="G112" s="6" t="inlineStr">
        <is>
          <t>Credit</t>
        </is>
      </c>
      <c r="H112" s="6" t="inlineStr">
        <is>
          <t>Europe</t>
        </is>
      </c>
      <c r="I112" s="6" t="inlineStr">
        <is>
          <t>No</t>
        </is>
      </c>
      <c r="J112" s="6" t="inlineStr">
        <is>
          <t>Unknown</t>
        </is>
      </c>
      <c r="K112" s="11" t="n">
        <v>0</v>
      </c>
      <c r="L112" s="11" t="n">
        <v>0</v>
      </c>
      <c r="M112" s="11" t="n">
        <v>1</v>
      </c>
      <c r="N112" s="11" t="n">
        <v>0</v>
      </c>
      <c r="O112" s="11" t="n">
        <v>1</v>
      </c>
      <c r="P112" s="11" t="n">
        <v>1</v>
      </c>
      <c r="Q112" s="11" t="n">
        <v>1</v>
      </c>
      <c r="R112" s="12">
        <f>ROUND(SUMPRODUCT(K112:Q112,Scoring_Weights!$E$5:$K$5)/Scoring_Weights!$B$12*20,0)</f>
        <v/>
      </c>
      <c r="S112" s="13">
        <f>IF(R112&gt;=Scoring_Weights!$B$15,"Tier 1",IF(R112&gt;=Scoring_Weights!$B$16,"Tier 2","Tier 3"))</f>
        <v/>
      </c>
      <c r="T112" s="6" t="inlineStr">
        <is>
          <t>Not relevant</t>
        </is>
      </c>
      <c r="U112" s="6" t="inlineStr">
        <is>
          <t>n/a</t>
        </is>
      </c>
      <c r="V112" s="6" t="inlineStr"/>
      <c r="W112" s="6" t="inlineStr">
        <is>
          <t>Cascade map</t>
        </is>
      </c>
    </row>
    <row r="113">
      <c r="A113" s="6" t="inlineStr">
        <is>
          <t>AXA Investment Managers (Alts)</t>
        </is>
      </c>
      <c r="B113" s="6" t="inlineStr">
        <is>
          <t>Cascade map - AUM &gt; US$100b</t>
        </is>
      </c>
      <c r="C113" s="6" t="inlineStr">
        <is>
          <t>Paris</t>
        </is>
      </c>
      <c r="D113" s="6" t="inlineStr">
        <is>
          <t>Infra debt (#3 in Europe 2020-24, US$11.9b), private debt, ABF</t>
        </is>
      </c>
      <c r="E113" s="6" t="inlineStr">
        <is>
          <t>n/a</t>
        </is>
      </c>
      <c r="F113" s="6" t="inlineStr">
        <is>
          <t>€25m+</t>
        </is>
      </c>
      <c r="G113" s="6" t="inlineStr">
        <is>
          <t>Infra debt</t>
        </is>
      </c>
      <c r="H113" s="6" t="inlineStr">
        <is>
          <t>Europe</t>
        </is>
      </c>
      <c r="I113" s="6" t="inlineStr">
        <is>
          <t>Infrastructure debt</t>
        </is>
      </c>
      <c r="J113" s="6" t="inlineStr">
        <is>
          <t>Excluded</t>
        </is>
      </c>
      <c r="K113" s="11" t="n">
        <v>2</v>
      </c>
      <c r="L113" s="11" t="n">
        <v>0</v>
      </c>
      <c r="M113" s="11" t="n">
        <v>2</v>
      </c>
      <c r="N113" s="11" t="n">
        <v>1</v>
      </c>
      <c r="O113" s="11" t="n">
        <v>2</v>
      </c>
      <c r="P113" s="11" t="n">
        <v>1</v>
      </c>
      <c r="Q113" s="11" t="n">
        <v>2</v>
      </c>
      <c r="R113" s="12">
        <f>ROUND(SUMPRODUCT(K113:Q113,Scoring_Weights!$E$5:$K$5)/Scoring_Weights!$B$12*20,0)</f>
        <v/>
      </c>
      <c r="S113" s="13">
        <f>IF(R113&gt;=Scoring_Weights!$B$15,"Tier 1",IF(R113&gt;=Scoring_Weights!$B$16,"Tier 2","Tier 3"))</f>
        <v/>
      </c>
      <c r="T113" s="6" t="inlineStr">
        <is>
          <t>Wave 2 - infra debt at operations</t>
        </is>
      </c>
      <c r="U113" s="6" t="inlineStr">
        <is>
          <t>Cold</t>
        </is>
      </c>
      <c r="V113" s="6" t="inlineStr"/>
      <c r="W113" s="6" t="inlineStr">
        <is>
          <t>Infrastructure Investor</t>
        </is>
      </c>
    </row>
    <row r="114">
      <c r="A114" s="6" t="inlineStr">
        <is>
          <t>Blackstone (Credit &amp; Insurance; ECRED)</t>
        </is>
      </c>
      <c r="B114" s="6" t="inlineStr">
        <is>
          <t>Cascade map - AUM &gt; US$100b</t>
        </is>
      </c>
      <c r="C114" s="6" t="inlineStr">
        <is>
          <t>New York / London</t>
        </is>
      </c>
      <c r="D114" s="6" t="inlineStr">
        <is>
          <t>ECRED €2.6b NAV; infrastructure credit; 'Thermo Lysi structured product' idea in tracker via Argus</t>
        </is>
      </c>
      <c r="E114" s="6" t="inlineStr">
        <is>
          <t>n/a</t>
        </is>
      </c>
      <c r="F114" s="6" t="inlineStr">
        <is>
          <t>US$50m+</t>
        </is>
      </c>
      <c r="G114" s="6" t="inlineStr">
        <is>
          <t>All</t>
        </is>
      </c>
      <c r="H114" s="6" t="inlineStr">
        <is>
          <t>Global</t>
        </is>
      </c>
      <c r="I114" s="6" t="inlineStr">
        <is>
          <t>Infrastructure</t>
        </is>
      </c>
      <c r="J114" s="6" t="inlineStr">
        <is>
          <t>Unknown</t>
        </is>
      </c>
      <c r="K114" s="11" t="n">
        <v>2</v>
      </c>
      <c r="L114" s="11" t="n">
        <v>0</v>
      </c>
      <c r="M114" s="11" t="n">
        <v>1</v>
      </c>
      <c r="N114" s="11" t="n">
        <v>1</v>
      </c>
      <c r="O114" s="11" t="n">
        <v>3</v>
      </c>
      <c r="P114" s="11" t="n">
        <v>2</v>
      </c>
      <c r="Q114" s="11" t="n">
        <v>1</v>
      </c>
      <c r="R114" s="12">
        <f>ROUND(SUMPRODUCT(K114:Q114,Scoring_Weights!$E$5:$K$5)/Scoring_Weights!$B$12*20,0)</f>
        <v/>
      </c>
      <c r="S114" s="13">
        <f>IF(R114&gt;=Scoring_Weights!$B$15,"Tier 1",IF(R114&gt;=Scoring_Weights!$B$16,"Tier 2","Tier 3"))</f>
        <v/>
      </c>
      <c r="T114" s="6" t="inlineStr">
        <is>
          <t>IVP-level; keep the Argus channel warm</t>
        </is>
      </c>
      <c r="U114" s="6" t="inlineStr">
        <is>
          <t>Warm via Argus</t>
        </is>
      </c>
      <c r="V114" s="6" t="inlineStr"/>
      <c r="W114" s="6" t="inlineStr">
        <is>
          <t>Investor tracker; ecred.com</t>
        </is>
      </c>
    </row>
  </sheetData>
  <autoFilter ref="A4:W114"/>
  <conditionalFormatting sqref="R5:R114">
    <cfRule type="colorScale" priority="1">
      <colorScale>
        <cfvo type="num" val="20"/>
        <cfvo type="num" val="55"/>
        <cfvo type="num" val="90"/>
        <color rgb="00F8CBAD"/>
        <color rgb="00FFEB9C"/>
        <color rgb="00C6EFCE"/>
      </colorScale>
    </cfRule>
  </conditionalFormatting>
  <conditionalFormatting sqref="S5:S114">
    <cfRule type="cellIs" priority="2" operator="equal" dxfId="0">
      <formula>"Tier 1"</formula>
    </cfRule>
    <cfRule type="cellIs" priority="3" operator="equal" dxfId="1">
      <formula>"Tier 2"</formula>
    </cfRule>
  </conditionalFormatting>
  <dataValidations count="1">
    <dataValidation sqref="K5:Q114" showDropDown="0" showInputMessage="0" showErrorMessage="0" allowBlank="1" type="whole" operator="between">
      <formula1>0</formula1>
      <formula2>5</formula2>
    </dataValidation>
  </dataValidations>
  <pageMargins left="0.75" right="0.75" top="1" bottom="1" header="0.5" footer="0.5"/>
</worksheet>
</file>

<file path=xl/worksheets/sheet6.xml><?xml version="1.0" encoding="utf-8"?>
<worksheet xmlns="http://schemas.openxmlformats.org/spreadsheetml/2006/main">
  <sheetPr>
    <tabColor rgb="007F7F7F"/>
    <outlinePr summaryBelow="1" summaryRight="1"/>
    <pageSetUpPr/>
  </sheetPr>
  <dimension ref="A1:W8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22" customWidth="1" min="3" max="3"/>
    <col width="40" customWidth="1" min="4" max="4"/>
    <col width="16" customWidth="1" min="5" max="5"/>
    <col width="16" customWidth="1" min="6" max="6"/>
    <col width="28" customWidth="1" min="7" max="7"/>
    <col width="40" customWidth="1" min="8" max="8"/>
    <col width="40" customWidth="1" min="9" max="9"/>
    <col width="22"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10" customWidth="1" min="18" max="18"/>
    <col width="8" customWidth="1" min="19" max="19"/>
    <col width="40" customWidth="1" min="20" max="20"/>
    <col width="26" customWidth="1" min="21" max="21"/>
    <col width="30" customWidth="1" min="22" max="22"/>
    <col width="40" customWidth="1" min="23" max="23"/>
  </cols>
  <sheetData>
    <row r="1">
      <c r="A1" s="1" t="inlineStr">
        <is>
          <t>Investor Universe</t>
        </is>
      </c>
    </row>
    <row r="2">
      <c r="A2" s="2" t="inlineStr">
        <is>
          <t>Wider universe beyond the ABF map: direct lending, special situations, infrastructure and energy-transition credit, venture and growth debt, impact and DFI capital, cannabis-tolerant credit, placement agents and fund-finance providers. Scores are analyst judgement on the public evidence cited.</t>
        </is>
      </c>
    </row>
    <row r="4" ht="30" customHeight="1">
      <c r="A4" s="5" t="inlineStr">
        <is>
          <t>Firm</t>
        </is>
      </c>
      <c r="B4" s="5" t="inlineStr">
        <is>
          <t>Category</t>
        </is>
      </c>
      <c r="C4" s="5" t="inlineStr">
        <is>
          <t>HQ / EU office</t>
        </is>
      </c>
      <c r="D4" s="5" t="inlineStr">
        <is>
          <t>Strategy / vehicle</t>
        </is>
      </c>
      <c r="E4" s="5" t="inlineStr">
        <is>
          <t>Fund size / AUM</t>
        </is>
      </c>
      <c r="F4" s="5" t="inlineStr">
        <is>
          <t>Ticket range</t>
        </is>
      </c>
      <c r="G4" s="5" t="inlineStr">
        <is>
          <t>Instruments</t>
        </is>
      </c>
      <c r="H4" s="5" t="inlineStr">
        <is>
          <t>Greece / Cyprus / S. Europe evidence</t>
        </is>
      </c>
      <c r="I4" s="5" t="inlineStr">
        <is>
          <t>Hard-asset / FOAK evidence</t>
        </is>
      </c>
      <c r="J4" s="5" t="inlineStr">
        <is>
          <t>Cannabis stance</t>
        </is>
      </c>
      <c r="K4" s="5" t="inlineStr">
        <is>
          <t>S1 IPL fit</t>
        </is>
      </c>
      <c r="L4" s="5" t="inlineStr">
        <is>
          <t>S2 CPEF fit</t>
        </is>
      </c>
      <c r="M4" s="5" t="inlineStr">
        <is>
          <t>S3 Ticket</t>
        </is>
      </c>
      <c r="N4" s="5" t="inlineStr">
        <is>
          <t>S4 Geography</t>
        </is>
      </c>
      <c r="O4" s="5" t="inlineStr">
        <is>
          <t>S5 Risk appetite</t>
        </is>
      </c>
      <c r="P4" s="5" t="inlineStr">
        <is>
          <t>S6 Warm path</t>
        </is>
      </c>
      <c r="Q4" s="5" t="inlineStr">
        <is>
          <t>S7 Speed</t>
        </is>
      </c>
      <c r="R4" s="5" t="inlineStr">
        <is>
          <t>Weighted score</t>
        </is>
      </c>
      <c r="S4" s="5" t="inlineStr">
        <is>
          <t>Tier</t>
        </is>
      </c>
      <c r="T4" s="5" t="inlineStr">
        <is>
          <t>Best use for Impactus</t>
        </is>
      </c>
      <c r="U4" s="5" t="inlineStr">
        <is>
          <t>Recommended channel</t>
        </is>
      </c>
      <c r="V4" s="5" t="inlineStr">
        <is>
          <t>Warm path via</t>
        </is>
      </c>
      <c r="W4" s="5" t="inlineStr">
        <is>
          <t>Source URL</t>
        </is>
      </c>
    </row>
    <row r="5">
      <c r="A5" s="6" t="inlineStr">
        <is>
          <t>EIB - Cleantech Equity &amp; Growth Capital Division (venture debt)</t>
        </is>
      </c>
      <c r="B5" s="6" t="inlineStr">
        <is>
          <t>DFI - venture debt</t>
        </is>
      </c>
      <c r="C5" s="6" t="inlineStr">
        <is>
          <t>Luxembourg</t>
        </is>
      </c>
      <c r="D5" s="6" t="inlineStr">
        <is>
          <t>EIB venture debt (quasi-equity for FOAK cleantech); Joltie €17.5m Greece precedent</t>
        </is>
      </c>
      <c r="E5" s="6" t="inlineStr">
        <is>
          <t>EIB Group Greece €3.5b (2025)</t>
        </is>
      </c>
      <c r="F5" s="6" t="inlineStr">
        <is>
          <t>€7.5m to €50m</t>
        </is>
      </c>
      <c r="G5" s="6" t="inlineStr">
        <is>
          <t>Venture debt: cash + PIK + warrants</t>
        </is>
      </c>
      <c r="H5" s="6" t="inlineStr">
        <is>
          <t>Record Greek lending; direct engagement with Impactus Feb-Sep 2026</t>
        </is>
      </c>
      <c r="I5" s="6" t="inlineStr">
        <is>
          <t>Designed for FOAK; declined 30-04-2026 as 'mezzanine risk without equity reward'; re-engaged Sep 2026 via Sirec</t>
        </is>
      </c>
      <c r="J5" s="6" t="inlineStr">
        <is>
          <t>No formal exclusion; no precedent</t>
        </is>
      </c>
      <c r="K5" s="11" t="n">
        <v>5</v>
      </c>
      <c r="L5" s="11" t="n">
        <v>1</v>
      </c>
      <c r="M5" s="11" t="n">
        <v>5</v>
      </c>
      <c r="N5" s="11" t="n">
        <v>5</v>
      </c>
      <c r="O5" s="11" t="n">
        <v>4</v>
      </c>
      <c r="P5" s="11" t="n">
        <v>5</v>
      </c>
      <c r="Q5" s="11" t="n">
        <v>2</v>
      </c>
      <c r="R5" s="12">
        <f>ROUND(SUMPRODUCT(K5:Q5,Scoring_Weights!$E$5:$K$5)/Scoring_Weights!$B$12*20,0)</f>
        <v/>
      </c>
      <c r="S5" s="13">
        <f>IF(R5&gt;=Scoring_Weights!$B$15,"Tier 1",IF(R5&gt;=Scoring_Weights!$B$16,"Tier 2","Tier 3"))</f>
        <v/>
      </c>
      <c r="T5" s="6" t="inlineStr">
        <is>
          <t>Reopen VD at €20m to €35m with equity-like upside (higher warrant coverage) so the 'reward' objection is answered</t>
        </is>
      </c>
      <c r="U5" s="6" t="inlineStr">
        <is>
          <t>Warm - existing thread</t>
        </is>
      </c>
      <c r="V5" s="6" t="inlineStr">
        <is>
          <t>Sirec (Papageorgantas); direct to Casorati / Mitrakas</t>
        </is>
      </c>
      <c r="W5" s="6" t="inlineStr">
        <is>
          <t>Outlook threads Feb-Sep 2026; EIB press 2026-041</t>
        </is>
      </c>
    </row>
    <row r="6">
      <c r="A6" s="6" t="inlineStr">
        <is>
          <t>Hellenic Innovation &amp; Infrastructure Fund (HIIF)</t>
        </is>
      </c>
      <c r="B6" s="6" t="inlineStr">
        <is>
          <t>Greek impact / infra investor</t>
        </is>
      </c>
      <c r="C6" s="6" t="inlineStr">
        <is>
          <t>Athens</t>
        </is>
      </c>
      <c r="D6" s="6" t="inlineStr">
        <is>
          <t>Assessing €35m VD tranche at 10% blended; market-operator (state aid) test at IC</t>
        </is>
      </c>
      <c r="E6" s="6" t="inlineStr">
        <is>
          <t>n/a</t>
        </is>
      </c>
      <c r="F6" s="6" t="inlineStr">
        <is>
          <t>€10m to €50m</t>
        </is>
      </c>
      <c r="G6" s="6" t="inlineStr">
        <is>
          <t>Venture debt / hybrid</t>
        </is>
      </c>
      <c r="H6" s="6" t="inlineStr">
        <is>
          <t>Greek</t>
        </is>
      </c>
      <c r="I6" s="6" t="inlineStr">
        <is>
          <t>Live DD on Thermo Lysi since Jul 2026</t>
        </is>
      </c>
      <c r="J6" s="6" t="inlineStr">
        <is>
          <t>n/a</t>
        </is>
      </c>
      <c r="K6" s="11" t="n">
        <v>5</v>
      </c>
      <c r="L6" s="11" t="n">
        <v>0</v>
      </c>
      <c r="M6" s="11" t="n">
        <v>5</v>
      </c>
      <c r="N6" s="11" t="n">
        <v>5</v>
      </c>
      <c r="O6" s="11" t="n">
        <v>4</v>
      </c>
      <c r="P6" s="11" t="n">
        <v>5</v>
      </c>
      <c r="Q6" s="11" t="n">
        <v>3</v>
      </c>
      <c r="R6" s="12">
        <f>ROUND(SUMPRODUCT(K6:Q6,Scoring_Weights!$E$5:$K$5)/Scoring_Weights!$B$12*20,0)</f>
        <v/>
      </c>
      <c r="S6" s="13">
        <f>IF(R6&gt;=Scoring_Weights!$B$15,"Tier 1",IF(R6&gt;=Scoring_Weights!$B$16,"Tier 2","Tier 3"))</f>
        <v/>
      </c>
      <c r="T6" s="6" t="inlineStr">
        <is>
          <t>Re-cut as staged commitment (development tranche now, construction tranche at FID); keep them ahead of the PMO reset</t>
        </is>
      </c>
      <c r="U6" s="6" t="inlineStr">
        <is>
          <t>Warm - existing thread</t>
        </is>
      </c>
      <c r="V6" s="6" t="inlineStr">
        <is>
          <t>Direct: Vlachos, Fragos, Giannakopoulos</t>
        </is>
      </c>
      <c r="W6" s="6" t="inlineStr">
        <is>
          <t>Outlook 'Impactus Group - HIIF' Jul-Aug 2026</t>
        </is>
      </c>
    </row>
    <row r="7">
      <c r="A7" s="6" t="inlineStr">
        <is>
          <t>Credia Bank (Structured Finance)</t>
        </is>
      </c>
      <c r="B7" s="6" t="inlineStr">
        <is>
          <t>Greek bank - senior project debt</t>
        </is>
      </c>
      <c r="C7" s="6" t="inlineStr">
        <is>
          <t>Athens</t>
        </is>
      </c>
      <c r="D7" s="6" t="inlineStr">
        <is>
          <t>Senior facility term sheet c.€77.4m, 1.5x DSCR; LOI 6.5% / 4+10y / 1.3x avg DSCR</t>
        </is>
      </c>
      <c r="E7" s="6" t="inlineStr">
        <is>
          <t>n/a</t>
        </is>
      </c>
      <c r="F7" s="6" t="inlineStr">
        <is>
          <t>€20m to €100m</t>
        </is>
      </c>
      <c r="G7" s="6" t="inlineStr">
        <is>
          <t>Senior project finance, VAT facility</t>
        </is>
      </c>
      <c r="H7" s="6" t="inlineStr">
        <is>
          <t>Greek</t>
        </is>
      </c>
      <c r="I7" s="6" t="inlineStr">
        <is>
          <t>Term sheet on 20ktpa; 45ktpa update in credit process</t>
        </is>
      </c>
      <c r="J7" s="6" t="inlineStr">
        <is>
          <t>n/a</t>
        </is>
      </c>
      <c r="K7" s="11" t="n">
        <v>5</v>
      </c>
      <c r="L7" s="11" t="n">
        <v>0</v>
      </c>
      <c r="M7" s="11" t="n">
        <v>5</v>
      </c>
      <c r="N7" s="11" t="n">
        <v>5</v>
      </c>
      <c r="O7" s="11" t="n">
        <v>2</v>
      </c>
      <c r="P7" s="11" t="n">
        <v>5</v>
      </c>
      <c r="Q7" s="11" t="n">
        <v>2</v>
      </c>
      <c r="R7" s="12">
        <f>ROUND(SUMPRODUCT(K7:Q7,Scoring_Weights!$E$5:$K$5)/Scoring_Weights!$B$12*20,0)</f>
        <v/>
      </c>
      <c r="S7" s="13">
        <f>IF(R7&gt;=Scoring_Weights!$B$15,"Tier 1",IF(R7&gt;=Scoring_Weights!$B$16,"Tier 2","Tier 3"))</f>
        <v/>
      </c>
      <c r="T7" s="6" t="inlineStr">
        <is>
          <t>Deliver firm EPC price, TDD and CP list; run one competing bank (Piraeus or Eurobank PF) for tension</t>
        </is>
      </c>
      <c r="U7" s="6" t="inlineStr">
        <is>
          <t>Warm - existing thread</t>
        </is>
      </c>
      <c r="V7" s="6" t="inlineStr">
        <is>
          <t>Venero (Chatzilias); direct to Mitrou</t>
        </is>
      </c>
      <c r="W7" s="6" t="inlineStr">
        <is>
          <t>Credia LOI thread Jul-Aug 2026</t>
        </is>
      </c>
    </row>
    <row r="8">
      <c r="A8" s="6" t="inlineStr">
        <is>
          <t>Sirec Energy</t>
        </is>
      </c>
      <c r="B8" s="6" t="inlineStr">
        <is>
          <t>Greek energy fund - co-investor</t>
        </is>
      </c>
      <c r="C8" s="6" t="inlineStr">
        <is>
          <t>Athens</t>
        </is>
      </c>
      <c r="D8" s="6" t="inlineStr">
        <is>
          <t>Executed TS Mar 2026 at c.€34m post-money Thermo Lysi; advising on EIB</t>
        </is>
      </c>
      <c r="E8" s="6" t="inlineStr">
        <is>
          <t>n/a</t>
        </is>
      </c>
      <c r="F8" s="6" t="inlineStr">
        <is>
          <t>€2m to €10m</t>
        </is>
      </c>
      <c r="G8" s="6" t="inlineStr">
        <is>
          <t>Equity</t>
        </is>
      </c>
      <c r="H8" s="6" t="inlineStr">
        <is>
          <t>Greek</t>
        </is>
      </c>
      <c r="I8" s="6" t="inlineStr">
        <is>
          <t>Co-investor in Thermo Lysi</t>
        </is>
      </c>
      <c r="J8" s="6" t="inlineStr">
        <is>
          <t>n/a</t>
        </is>
      </c>
      <c r="K8" s="11" t="n">
        <v>4</v>
      </c>
      <c r="L8" s="11" t="n">
        <v>0</v>
      </c>
      <c r="M8" s="11" t="n">
        <v>4</v>
      </c>
      <c r="N8" s="11" t="n">
        <v>5</v>
      </c>
      <c r="O8" s="11" t="n">
        <v>4</v>
      </c>
      <c r="P8" s="11" t="n">
        <v>5</v>
      </c>
      <c r="Q8" s="11" t="n">
        <v>4</v>
      </c>
      <c r="R8" s="12">
        <f>ROUND(SUMPRODUCT(K8:Q8,Scoring_Weights!$E$5:$K$5)/Scoring_Weights!$B$12*20,0)</f>
        <v/>
      </c>
      <c r="S8" s="13">
        <f>IF(R8&gt;=Scoring_Weights!$B$15,"Tier 1",IF(R8&gt;=Scoring_Weights!$B$16,"Tier 2","Tier 3"))</f>
        <v/>
      </c>
      <c r="T8" s="6" t="inlineStr">
        <is>
          <t>Reference co-investor; ask for Greek bank and EIB introductions and a follow-on</t>
        </is>
      </c>
      <c r="U8" s="6" t="inlineStr">
        <is>
          <t>Warm</t>
        </is>
      </c>
      <c r="V8" s="6" t="inlineStr">
        <is>
          <t>Direct: Papageorgantas, Alissandratos</t>
        </is>
      </c>
      <c r="W8" s="6" t="inlineStr">
        <is>
          <t>Outlook 17-09-2026</t>
        </is>
      </c>
    </row>
    <row r="9">
      <c r="A9" s="6" t="inlineStr">
        <is>
          <t>Piraeus Bank (Structured / Green Finance)</t>
        </is>
      </c>
      <c r="B9" s="6" t="inlineStr">
        <is>
          <t>Greek bank - project finance</t>
        </is>
      </c>
      <c r="C9" s="6" t="inlineStr">
        <is>
          <t>Athens</t>
        </is>
      </c>
      <c r="D9" s="6" t="inlineStr">
        <is>
          <t>Largest Greek PF desk; EIB €950m on-lending line; RRF green loans</t>
        </is>
      </c>
      <c r="E9" s="6" t="inlineStr">
        <is>
          <t>Assets &gt;€75b [K]</t>
        </is>
      </c>
      <c r="F9" s="6" t="inlineStr">
        <is>
          <t>€20m to €150m</t>
        </is>
      </c>
      <c r="G9" s="6" t="inlineStr">
        <is>
          <t>Senior project finance</t>
        </is>
      </c>
      <c r="H9" s="6" t="inlineStr">
        <is>
          <t>Greek</t>
        </is>
      </c>
      <c r="I9" s="6" t="inlineStr">
        <is>
          <t>Waste / energy SPVs [K]</t>
        </is>
      </c>
      <c r="J9" s="6" t="inlineStr">
        <is>
          <t>Unknown</t>
        </is>
      </c>
      <c r="K9" s="11" t="n">
        <v>4</v>
      </c>
      <c r="L9" s="11" t="n">
        <v>1</v>
      </c>
      <c r="M9" s="11" t="n">
        <v>5</v>
      </c>
      <c r="N9" s="11" t="n">
        <v>5</v>
      </c>
      <c r="O9" s="11" t="n">
        <v>2</v>
      </c>
      <c r="P9" s="11" t="n">
        <v>3</v>
      </c>
      <c r="Q9" s="11" t="n">
        <v>2</v>
      </c>
      <c r="R9" s="12">
        <f>ROUND(SUMPRODUCT(K9:Q9,Scoring_Weights!$E$5:$K$5)/Scoring_Weights!$B$12*20,0)</f>
        <v/>
      </c>
      <c r="S9" s="13">
        <f>IF(R9&gt;=Scoring_Weights!$B$15,"Tier 1",IF(R9&gt;=Scoring_Weights!$B$16,"Tier 2","Tier 3"))</f>
        <v/>
      </c>
      <c r="T9" s="6" t="inlineStr">
        <is>
          <t>Competing senior bid to Credia; also Ethniki Insurance (Piraeus-owned) as LP</t>
        </is>
      </c>
      <c r="U9" s="6" t="inlineStr">
        <is>
          <t>Warm intro via Axia / PwC Greece</t>
        </is>
      </c>
      <c r="V9" s="6" t="inlineStr">
        <is>
          <t>Axia (Achilleoudis); PwC Greece (Kantounis)</t>
        </is>
      </c>
      <c r="W9" s="6" t="inlineStr">
        <is>
          <t>EIB press 2026-041 [K]</t>
        </is>
      </c>
    </row>
    <row r="10">
      <c r="A10" s="6" t="inlineStr">
        <is>
          <t>Eurobank (Project Finance) and Eurobank Cyprus</t>
        </is>
      </c>
      <c r="B10" s="6" t="inlineStr">
        <is>
          <t>Greek / Cypriot bank</t>
        </is>
      </c>
      <c r="C10" s="6" t="inlineStr">
        <is>
          <t>Athens / Nicosia</t>
        </is>
      </c>
      <c r="D10" s="6" t="inlineStr">
        <is>
          <t>Project finance Greece; Eurobank Cyprus depositary and first InvestEU guarantee in Cyprus (€62.5m)</t>
        </is>
      </c>
      <c r="E10" s="6" t="inlineStr">
        <is>
          <t>n/a</t>
        </is>
      </c>
      <c r="F10" s="6" t="inlineStr">
        <is>
          <t>€10m to €100m</t>
        </is>
      </c>
      <c r="G10" s="6" t="inlineStr">
        <is>
          <t>Senior PF; small capital-call line</t>
        </is>
      </c>
      <c r="H10" s="6" t="inlineStr">
        <is>
          <t>Greek and Cypriot</t>
        </is>
      </c>
      <c r="I10" s="6" t="inlineStr">
        <is>
          <t>PF desk for energy / waste [K]</t>
        </is>
      </c>
      <c r="J10" s="6" t="inlineStr">
        <is>
          <t>Unknown</t>
        </is>
      </c>
      <c r="K10" s="11" t="n">
        <v>4</v>
      </c>
      <c r="L10" s="11" t="n">
        <v>1</v>
      </c>
      <c r="M10" s="11" t="n">
        <v>5</v>
      </c>
      <c r="N10" s="11" t="n">
        <v>5</v>
      </c>
      <c r="O10" s="11" t="n">
        <v>2</v>
      </c>
      <c r="P10" s="11" t="n">
        <v>3</v>
      </c>
      <c r="Q10" s="11" t="n">
        <v>3</v>
      </c>
      <c r="R10" s="12">
        <f>ROUND(SUMPRODUCT(K10:Q10,Scoring_Weights!$E$5:$K$5)/Scoring_Weights!$B$12*20,0)</f>
        <v/>
      </c>
      <c r="S10" s="13">
        <f>IF(R10&gt;=Scoring_Weights!$B$15,"Tier 1",IF(R10&gt;=Scoring_Weights!$B$16,"Tier 2","Tier 3"))</f>
        <v/>
      </c>
      <c r="T10" s="6" t="inlineStr">
        <is>
          <t>Second competing senior bid; capital-call line for the PE Fund (ex-CPEF)</t>
        </is>
      </c>
      <c r="U10" s="6" t="inlineStr">
        <is>
          <t>Warm intro via Argus (depositary relationship)</t>
        </is>
      </c>
      <c r="V10" s="6" t="inlineStr">
        <is>
          <t>Argus Management</t>
        </is>
      </c>
      <c r="W10" s="6" t="inlineStr">
        <is>
          <t>EIF press 2025-343; research briefing</t>
        </is>
      </c>
    </row>
    <row r="11">
      <c r="A11" s="6" t="inlineStr">
        <is>
          <t>Alpha Bank (Wholesale / Wealth Management Greece)</t>
        </is>
      </c>
      <c r="B11" s="6" t="inlineStr">
        <is>
          <t>Greek bank</t>
        </is>
      </c>
      <c r="C11" s="6" t="inlineStr">
        <is>
          <t>Athens</t>
        </is>
      </c>
      <c r="D11" s="6" t="inlineStr">
        <is>
          <t>Cooperation discussion Sep 2026; wealth-management distribution of Impactus products</t>
        </is>
      </c>
      <c r="E11" s="6" t="inlineStr">
        <is>
          <t>n/a</t>
        </is>
      </c>
      <c r="F11" s="6" t="inlineStr">
        <is>
          <t>€10m to €100m PF; private-placement distribution</t>
        </is>
      </c>
      <c r="G11" s="6" t="inlineStr">
        <is>
          <t>Senior PF; distribution</t>
        </is>
      </c>
      <c r="H11" s="6" t="inlineStr">
        <is>
          <t>Greek</t>
        </is>
      </c>
      <c r="I11" s="6" t="inlineStr">
        <is>
          <t>PF desk [K]</t>
        </is>
      </c>
      <c r="J11" s="6" t="inlineStr">
        <is>
          <t>Unknown</t>
        </is>
      </c>
      <c r="K11" s="11" t="n">
        <v>3</v>
      </c>
      <c r="L11" s="11" t="n">
        <v>2</v>
      </c>
      <c r="M11" s="11" t="n">
        <v>4</v>
      </c>
      <c r="N11" s="11" t="n">
        <v>5</v>
      </c>
      <c r="O11" s="11" t="n">
        <v>2</v>
      </c>
      <c r="P11" s="11" t="n">
        <v>4</v>
      </c>
      <c r="Q11" s="11" t="n">
        <v>3</v>
      </c>
      <c r="R11" s="12">
        <f>ROUND(SUMPRODUCT(K11:Q11,Scoring_Weights!$E$5:$K$5)/Scoring_Weights!$B$12*20,0)</f>
        <v/>
      </c>
      <c r="S11" s="13">
        <f>IF(R11&gt;=Scoring_Weights!$B$15,"Tier 1",IF(R11&gt;=Scoring_Weights!$B$16,"Tier 2","Tier 3"))</f>
        <v/>
      </c>
      <c r="T11" s="6" t="inlineStr">
        <is>
          <t>Distribution agreement for professional clients; PF desk as third senior bid</t>
        </is>
      </c>
      <c r="U11" s="6" t="inlineStr">
        <is>
          <t>Warm - existing thread</t>
        </is>
      </c>
      <c r="V11" s="6" t="inlineStr">
        <is>
          <t>Miltos Michailas (AM relationship)</t>
        </is>
      </c>
      <c r="W11" s="6" t="inlineStr">
        <is>
          <t>Outlook 09-09-2026</t>
        </is>
      </c>
    </row>
    <row r="12">
      <c r="A12" s="6" t="inlineStr">
        <is>
          <t>National Bank of Greece (Project Finance)</t>
        </is>
      </c>
      <c r="B12" s="6" t="inlineStr">
        <is>
          <t>Greek bank</t>
        </is>
      </c>
      <c r="C12" s="6" t="inlineStr">
        <is>
          <t>Athens</t>
        </is>
      </c>
      <c r="D12" s="6" t="inlineStr">
        <is>
          <t>€250m EIB green line; €200m agri / bioeconomy line 2026</t>
        </is>
      </c>
      <c r="E12" s="6" t="inlineStr">
        <is>
          <t>n/a</t>
        </is>
      </c>
      <c r="F12" s="6" t="inlineStr">
        <is>
          <t>€20m to €150m</t>
        </is>
      </c>
      <c r="G12" s="6" t="inlineStr">
        <is>
          <t>Senior PF</t>
        </is>
      </c>
      <c r="H12" s="6" t="inlineStr">
        <is>
          <t>Greek</t>
        </is>
      </c>
      <c r="I12" s="6" t="inlineStr">
        <is>
          <t>Green / bioeconomy lines [K]</t>
        </is>
      </c>
      <c r="J12" s="6" t="inlineStr">
        <is>
          <t>Unknown</t>
        </is>
      </c>
      <c r="K12" s="11" t="n">
        <v>3</v>
      </c>
      <c r="L12" s="11" t="n">
        <v>1</v>
      </c>
      <c r="M12" s="11" t="n">
        <v>4</v>
      </c>
      <c r="N12" s="11" t="n">
        <v>5</v>
      </c>
      <c r="O12" s="11" t="n">
        <v>2</v>
      </c>
      <c r="P12" s="11" t="n">
        <v>2</v>
      </c>
      <c r="Q12" s="11" t="n">
        <v>2</v>
      </c>
      <c r="R12" s="12">
        <f>ROUND(SUMPRODUCT(K12:Q12,Scoring_Weights!$E$5:$K$5)/Scoring_Weights!$B$12*20,0)</f>
        <v/>
      </c>
      <c r="S12" s="13">
        <f>IF(R12&gt;=Scoring_Weights!$B$15,"Tier 1",IF(R12&gt;=Scoring_Weights!$B$16,"Tier 2","Tier 3"))</f>
        <v/>
      </c>
      <c r="T12" s="6" t="inlineStr">
        <is>
          <t>Fourth senior option; bioeconomy line could suit Curity (agri)</t>
        </is>
      </c>
      <c r="U12" s="6" t="inlineStr">
        <is>
          <t>Cold / via PwC Greece</t>
        </is>
      </c>
      <c r="V12" s="6" t="inlineStr">
        <is>
          <t>PwC Greece</t>
        </is>
      </c>
      <c r="W12" s="6" t="inlineStr">
        <is>
          <t>EIB press 2026-041</t>
        </is>
      </c>
    </row>
    <row r="13">
      <c r="A13" s="6" t="inlineStr">
        <is>
          <t>Hellenic Development Bank (HDB) / HDBI</t>
        </is>
      </c>
      <c r="B13" s="6" t="inlineStr">
        <is>
          <t>Greek national promotional bank</t>
        </is>
      </c>
      <c r="C13" s="6" t="inlineStr">
        <is>
          <t>Athens</t>
        </is>
      </c>
      <c r="D13" s="6" t="inlineStr">
        <is>
          <t>Green Co-Financing (40% interest-free); HDBI is LP in Elikonos 3</t>
        </is>
      </c>
      <c r="E13" s="6" t="inlineStr">
        <is>
          <t>€2b RRF allocation</t>
        </is>
      </c>
      <c r="F13" s="6" t="inlineStr">
        <is>
          <t>€1m to €20m</t>
        </is>
      </c>
      <c r="G13" s="6" t="inlineStr">
        <is>
          <t>Co-financed loans; fund-of-funds</t>
        </is>
      </c>
      <c r="H13" s="6" t="inlineStr">
        <is>
          <t>Greek</t>
        </is>
      </c>
      <c r="I13" s="6" t="inlineStr">
        <is>
          <t>RES / energy efficiency focus; disbursement deadline 31-08-2026</t>
        </is>
      </c>
      <c r="J13" s="6" t="inlineStr">
        <is>
          <t>Unknown</t>
        </is>
      </c>
      <c r="K13" s="11" t="n">
        <v>2</v>
      </c>
      <c r="L13" s="11" t="n">
        <v>1</v>
      </c>
      <c r="M13" s="11" t="n">
        <v>4</v>
      </c>
      <c r="N13" s="11" t="n">
        <v>5</v>
      </c>
      <c r="O13" s="11" t="n">
        <v>1</v>
      </c>
      <c r="P13" s="11" t="n">
        <v>2</v>
      </c>
      <c r="Q13" s="11" t="n">
        <v>2</v>
      </c>
      <c r="R13" s="12">
        <f>ROUND(SUMPRODUCT(K13:Q13,Scoring_Weights!$E$5:$K$5)/Scoring_Weights!$B$12*20,0)</f>
        <v/>
      </c>
      <c r="S13" s="13">
        <f>IF(R13&gt;=Scoring_Weights!$B$15,"Tier 1",IF(R13&gt;=Scoring_Weights!$B$16,"Tier 2","Tier 3"))</f>
        <v/>
      </c>
      <c r="T13" s="6" t="inlineStr">
        <is>
          <t>Check 2027 windows; HDBI as LP in a Greek-domiciled feeder</t>
        </is>
      </c>
      <c r="U13" s="6" t="inlineStr">
        <is>
          <t>Cold / via PwC Greece</t>
        </is>
      </c>
      <c r="V13" s="6" t="inlineStr">
        <is>
          <t>PwC Greece</t>
        </is>
      </c>
      <c r="W13" s="6" t="inlineStr">
        <is>
          <t>hdb.gr; research briefing</t>
        </is>
      </c>
    </row>
    <row r="14">
      <c r="A14" s="6" t="inlineStr">
        <is>
          <t>Growthfund / HCAP</t>
        </is>
      </c>
      <c r="B14" s="6" t="inlineStr">
        <is>
          <t>Greek sovereign holding</t>
        </is>
      </c>
      <c r="C14" s="6" t="inlineStr">
        <is>
          <t>Athens</t>
        </is>
      </c>
      <c r="D14" s="6" t="inlineStr">
        <is>
          <t>c.€6b state assets; evolving into National Investment Fund for Growth; BlackRock FMA</t>
        </is>
      </c>
      <c r="E14" s="6" t="inlineStr">
        <is>
          <t>€6b</t>
        </is>
      </c>
      <c r="F14" s="6" t="inlineStr">
        <is>
          <t>€10m+</t>
        </is>
      </c>
      <c r="G14" s="6" t="inlineStr">
        <is>
          <t>Equity / fund commitments</t>
        </is>
      </c>
      <c r="H14" s="6" t="inlineStr">
        <is>
          <t>Greek</t>
        </is>
      </c>
      <c r="I14" s="6" t="inlineStr">
        <is>
          <t>Strategic infrastructure</t>
        </is>
      </c>
      <c r="J14" s="6" t="inlineStr">
        <is>
          <t>Unlikely</t>
        </is>
      </c>
      <c r="K14" s="11" t="n">
        <v>2</v>
      </c>
      <c r="L14" s="11" t="n">
        <v>0</v>
      </c>
      <c r="M14" s="11" t="n">
        <v>3</v>
      </c>
      <c r="N14" s="11" t="n">
        <v>5</v>
      </c>
      <c r="O14" s="11" t="n">
        <v>2</v>
      </c>
      <c r="P14" s="11" t="n">
        <v>1</v>
      </c>
      <c r="Q14" s="11" t="n">
        <v>1</v>
      </c>
      <c r="R14" s="12">
        <f>ROUND(SUMPRODUCT(K14:Q14,Scoring_Weights!$E$5:$K$5)/Scoring_Weights!$B$12*20,0)</f>
        <v/>
      </c>
      <c r="S14" s="13">
        <f>IF(R14&gt;=Scoring_Weights!$B$15,"Tier 1",IF(R14&gt;=Scoring_Weights!$B$16,"Tier 2","Tier 3"))</f>
        <v/>
      </c>
      <c r="T14" s="6" t="inlineStr">
        <is>
          <t>IVP-level conversation only</t>
        </is>
      </c>
      <c r="U14" s="6" t="inlineStr">
        <is>
          <t>Cold</t>
        </is>
      </c>
      <c r="V14" s="6" t="inlineStr"/>
      <c r="W14" s="6" t="inlineStr">
        <is>
          <t>growthfund.gr</t>
        </is>
      </c>
    </row>
    <row r="15">
      <c r="A15" s="6" t="inlineStr">
        <is>
          <t>Elikonos Capital Partners</t>
        </is>
      </c>
      <c r="B15" s="6" t="inlineStr">
        <is>
          <t>Greek lower-mid credit / equity AIF</t>
        </is>
      </c>
      <c r="C15" s="6" t="inlineStr">
        <is>
          <t>Athens</t>
        </is>
      </c>
      <c r="D15" s="6" t="inlineStr">
        <is>
          <t>Elikonos 3 €175m first close (HDBI, EIF, EBRD)</t>
        </is>
      </c>
      <c r="E15" s="6" t="inlineStr">
        <is>
          <t>€175m</t>
        </is>
      </c>
      <c r="F15" s="6" t="inlineStr">
        <is>
          <t>€3m to €15m</t>
        </is>
      </c>
      <c r="G15" s="6" t="inlineStr">
        <is>
          <t>Hybrid, mezz, equity</t>
        </is>
      </c>
      <c r="H15" s="6" t="inlineStr">
        <is>
          <t>Greek</t>
        </is>
      </c>
      <c r="I15" s="6" t="inlineStr">
        <is>
          <t>SME growth; EIF-backed (state-aid sensitive)</t>
        </is>
      </c>
      <c r="J15" s="6" t="inlineStr">
        <is>
          <t>Excluded in practice (EIF LP)</t>
        </is>
      </c>
      <c r="K15" s="11" t="n">
        <v>2</v>
      </c>
      <c r="L15" s="11" t="n">
        <v>1</v>
      </c>
      <c r="M15" s="11" t="n">
        <v>5</v>
      </c>
      <c r="N15" s="11" t="n">
        <v>5</v>
      </c>
      <c r="O15" s="11" t="n">
        <v>2</v>
      </c>
      <c r="P15" s="11" t="n">
        <v>4</v>
      </c>
      <c r="Q15" s="11" t="n">
        <v>3</v>
      </c>
      <c r="R15" s="12">
        <f>ROUND(SUMPRODUCT(K15:Q15,Scoring_Weights!$E$5:$K$5)/Scoring_Weights!$B$12*20,0)</f>
        <v/>
      </c>
      <c r="S15" s="13">
        <f>IF(R15&gt;=Scoring_Weights!$B$15,"Tier 1",IF(R15&gt;=Scoring_Weights!$B$16,"Tier 2","Tier 3"))</f>
        <v/>
      </c>
      <c r="T15" s="6" t="inlineStr">
        <is>
          <t>Curity growth facility once EBITDA positive; 'Pantelis Solomis' in the tracker is the warm path</t>
        </is>
      </c>
      <c r="U15" s="6" t="inlineStr">
        <is>
          <t>Warm - in tracker</t>
        </is>
      </c>
      <c r="V15" s="6" t="inlineStr">
        <is>
          <t>AM (Pantelis Solomis)</t>
        </is>
      </c>
      <c r="W15" s="6" t="inlineStr">
        <is>
          <t>elikonos.com</t>
        </is>
      </c>
    </row>
    <row r="16">
      <c r="A16" s="6" t="inlineStr">
        <is>
          <t>Halcyon Equity Partners</t>
        </is>
      </c>
      <c r="B16" s="6" t="inlineStr">
        <is>
          <t>Greek AIF</t>
        </is>
      </c>
      <c r="C16" s="6" t="inlineStr">
        <is>
          <t>Athens</t>
        </is>
      </c>
      <c r="D16" s="6" t="inlineStr">
        <is>
          <t>€208m AUM</t>
        </is>
      </c>
      <c r="E16" s="6" t="inlineStr">
        <is>
          <t>€208m</t>
        </is>
      </c>
      <c r="F16" s="6" t="inlineStr">
        <is>
          <t>€3m to €15m</t>
        </is>
      </c>
      <c r="G16" s="6" t="inlineStr">
        <is>
          <t>Equity / hybrid</t>
        </is>
      </c>
      <c r="H16" s="6" t="inlineStr">
        <is>
          <t>Greek</t>
        </is>
      </c>
      <c r="I16" s="6" t="inlineStr">
        <is>
          <t>SME</t>
        </is>
      </c>
      <c r="J16" s="6" t="inlineStr">
        <is>
          <t>Unknown</t>
        </is>
      </c>
      <c r="K16" s="11" t="n">
        <v>2</v>
      </c>
      <c r="L16" s="11" t="n">
        <v>1</v>
      </c>
      <c r="M16" s="11" t="n">
        <v>4</v>
      </c>
      <c r="N16" s="11" t="n">
        <v>5</v>
      </c>
      <c r="O16" s="11" t="n">
        <v>2</v>
      </c>
      <c r="P16" s="11" t="n">
        <v>1</v>
      </c>
      <c r="Q16" s="11" t="n">
        <v>3</v>
      </c>
      <c r="R16" s="12">
        <f>ROUND(SUMPRODUCT(K16:Q16,Scoring_Weights!$E$5:$K$5)/Scoring_Weights!$B$12*20,0)</f>
        <v/>
      </c>
      <c r="S16" s="13">
        <f>IF(R16&gt;=Scoring_Weights!$B$15,"Tier 1",IF(R16&gt;=Scoring_Weights!$B$16,"Tier 2","Tier 3"))</f>
        <v/>
      </c>
      <c r="T16" s="6" t="inlineStr">
        <is>
          <t>Curity / IPL co-investor</t>
        </is>
      </c>
      <c r="U16" s="6" t="inlineStr">
        <is>
          <t>Cold</t>
        </is>
      </c>
      <c r="V16" s="6" t="inlineStr"/>
      <c r="W16" s="6" t="inlineStr">
        <is>
          <t>halcyonequitypartners.com</t>
        </is>
      </c>
    </row>
    <row r="17">
      <c r="A17" s="6" t="inlineStr">
        <is>
          <t>Waterwheel Capital Management</t>
        </is>
      </c>
      <c r="B17" s="6" t="inlineStr">
        <is>
          <t>Greek credit specialist</t>
        </is>
      </c>
      <c r="C17" s="6" t="inlineStr">
        <is>
          <t>Athens / London</t>
        </is>
      </c>
      <c r="D17" s="6" t="inlineStr">
        <is>
          <t>Hellenic Credit I DAC; Hellenic Opportunities</t>
        </is>
      </c>
      <c r="E17" s="6" t="inlineStr">
        <is>
          <t>n/a</t>
        </is>
      </c>
      <c r="F17" s="6" t="inlineStr">
        <is>
          <t>€5m to €30m</t>
        </is>
      </c>
      <c r="G17" s="6" t="inlineStr">
        <is>
          <t>Special situations credit</t>
        </is>
      </c>
      <c r="H17" s="6" t="inlineStr">
        <is>
          <t>Greek</t>
        </is>
      </c>
      <c r="I17" s="6" t="inlineStr">
        <is>
          <t>Distressed / NPL heritage</t>
        </is>
      </c>
      <c r="J17" s="6" t="inlineStr">
        <is>
          <t>Unknown</t>
        </is>
      </c>
      <c r="K17" s="11" t="n">
        <v>3</v>
      </c>
      <c r="L17" s="11" t="n">
        <v>1</v>
      </c>
      <c r="M17" s="11" t="n">
        <v>4</v>
      </c>
      <c r="N17" s="11" t="n">
        <v>5</v>
      </c>
      <c r="O17" s="11" t="n">
        <v>3</v>
      </c>
      <c r="P17" s="11" t="n">
        <v>1</v>
      </c>
      <c r="Q17" s="11" t="n">
        <v>3</v>
      </c>
      <c r="R17" s="12">
        <f>ROUND(SUMPRODUCT(K17:Q17,Scoring_Weights!$E$5:$K$5)/Scoring_Weights!$B$12*20,0)</f>
        <v/>
      </c>
      <c r="S17" s="13">
        <f>IF(R17&gt;=Scoring_Weights!$B$15,"Tier 1",IF(R17&gt;=Scoring_Weights!$B$16,"Tier 2","Tier 3"))</f>
        <v/>
      </c>
      <c r="T17" s="6" t="inlineStr">
        <is>
          <t>Holdco / IPL hybrid; Greek credit expertise</t>
        </is>
      </c>
      <c r="U17" s="6" t="inlineStr">
        <is>
          <t>Cold</t>
        </is>
      </c>
      <c r="V17" s="6" t="inlineStr"/>
      <c r="W17" s="6" t="inlineStr">
        <is>
          <t>aum13f.com</t>
        </is>
      </c>
    </row>
    <row r="18">
      <c r="A18" s="6" t="inlineStr">
        <is>
          <t>Kartesia</t>
        </is>
      </c>
      <c r="B18" s="6" t="inlineStr">
        <is>
          <t>Lower-mid-market private credit</t>
        </is>
      </c>
      <c r="C18" s="6" t="inlineStr">
        <is>
          <t>Luxembourg / Brussels; Madrid</t>
        </is>
      </c>
      <c r="D18" s="6" t="inlineStr">
        <is>
          <t>Kartesia Credit Opportunities VI €1.3b (Jul 2025); c.€6b AUM; on the Cascade map (&lt;US$5b ABF bucket)</t>
        </is>
      </c>
      <c r="E18" s="6" t="inlineStr">
        <is>
          <t>€1.3b (KCO VI)</t>
        </is>
      </c>
      <c r="F18" s="6" t="inlineStr">
        <is>
          <t>€10m to €60m</t>
        </is>
      </c>
      <c r="G18" s="6" t="inlineStr">
        <is>
          <t>Senior, unitranche, hybrid, PIK</t>
        </is>
      </c>
      <c r="H18" s="6" t="inlineStr">
        <is>
          <t>Southern Europe team (Iberia, Italy) [K]</t>
        </is>
      </c>
      <c r="I18" s="6" t="inlineStr">
        <is>
          <t>Sponsorless SMEs; some real-asset backed</t>
        </is>
      </c>
      <c r="J18" s="6" t="inlineStr">
        <is>
          <t>Unknown</t>
        </is>
      </c>
      <c r="K18" s="11" t="n">
        <v>3</v>
      </c>
      <c r="L18" s="11" t="n">
        <v>2</v>
      </c>
      <c r="M18" s="11" t="n">
        <v>4</v>
      </c>
      <c r="N18" s="11" t="n">
        <v>3</v>
      </c>
      <c r="O18" s="11" t="n">
        <v>3</v>
      </c>
      <c r="P18" s="11" t="n">
        <v>1</v>
      </c>
      <c r="Q18" s="11" t="n">
        <v>3</v>
      </c>
      <c r="R18" s="12">
        <f>ROUND(SUMPRODUCT(K18:Q18,Scoring_Weights!$E$5:$K$5)/Scoring_Weights!$B$12*20,0)</f>
        <v/>
      </c>
      <c r="S18" s="13">
        <f>IF(R18&gt;=Scoring_Weights!$B$15,"Tier 1",IF(R18&gt;=Scoring_Weights!$B$16,"Tier 2","Tier 3"))</f>
        <v/>
      </c>
      <c r="T18" s="6" t="inlineStr">
        <is>
          <t>Holdco / sponsor-level hybrid for IPL at FID; Curity growth line later</t>
        </is>
      </c>
      <c r="U18" s="6" t="inlineStr">
        <is>
          <t>Cold - LinkedIn first</t>
        </is>
      </c>
      <c r="V18" s="6" t="inlineStr"/>
      <c r="W18" s="6" t="inlineStr">
        <is>
          <t>kartesia.com press 04-07-2025</t>
        </is>
      </c>
    </row>
    <row r="19">
      <c r="A19" s="6" t="inlineStr">
        <is>
          <t>Capza (BNPP AM Alts)</t>
        </is>
      </c>
      <c r="B19" s="6" t="inlineStr">
        <is>
          <t>Mid-market private debt</t>
        </is>
      </c>
      <c r="C19" s="6" t="inlineStr">
        <is>
          <t>Paris / Madrid</t>
        </is>
      </c>
      <c r="D19" s="6" t="inlineStr">
        <is>
          <t>Capza PD 7 c.€1.4b first close; AUM &gt;€9b; Transition strategy</t>
        </is>
      </c>
      <c r="E19" s="6" t="inlineStr">
        <is>
          <t>€1.4b</t>
        </is>
      </c>
      <c r="F19" s="6" t="inlineStr">
        <is>
          <t>€10m to €80m</t>
        </is>
      </c>
      <c r="G19" s="6" t="inlineStr">
        <is>
          <t>Unitranche, mezz</t>
        </is>
      </c>
      <c r="H19" s="6" t="inlineStr">
        <is>
          <t>Iberia / Italy</t>
        </is>
      </c>
      <c r="I19" s="6" t="inlineStr">
        <is>
          <t>Mid-market corporates</t>
        </is>
      </c>
      <c r="J19" s="6" t="inlineStr">
        <is>
          <t>Unknown</t>
        </is>
      </c>
      <c r="K19" s="11" t="n">
        <v>2</v>
      </c>
      <c r="L19" s="11" t="n">
        <v>2</v>
      </c>
      <c r="M19" s="11" t="n">
        <v>3</v>
      </c>
      <c r="N19" s="11" t="n">
        <v>2</v>
      </c>
      <c r="O19" s="11" t="n">
        <v>2</v>
      </c>
      <c r="P19" s="11" t="n">
        <v>1</v>
      </c>
      <c r="Q19" s="11" t="n">
        <v>3</v>
      </c>
      <c r="R19" s="12">
        <f>ROUND(SUMPRODUCT(K19:Q19,Scoring_Weights!$E$5:$K$5)/Scoring_Weights!$B$12*20,0)</f>
        <v/>
      </c>
      <c r="S19" s="13">
        <f>IF(R19&gt;=Scoring_Weights!$B$15,"Tier 1",IF(R19&gt;=Scoring_Weights!$B$16,"Tier 2","Tier 3"))</f>
        <v/>
      </c>
      <c r="T19" s="6" t="inlineStr">
        <is>
          <t>Wave 2</t>
        </is>
      </c>
      <c r="U19" s="6" t="inlineStr">
        <is>
          <t>Cold</t>
        </is>
      </c>
      <c r="V19" s="6" t="inlineStr"/>
      <c r="W19" s="6" t="inlineStr">
        <is>
          <t>alts.axa-im.com press</t>
        </is>
      </c>
    </row>
    <row r="20">
      <c r="A20" s="6" t="inlineStr">
        <is>
          <t>Muzinich &amp; Co (Pan-European Private Debt)</t>
        </is>
      </c>
      <c r="B20" s="6" t="inlineStr">
        <is>
          <t>Lower-mid-market private debt</t>
        </is>
      </c>
      <c r="C20" s="6" t="inlineStr">
        <is>
          <t>London / Milan / Madrid</t>
        </is>
      </c>
      <c r="D20" s="6" t="inlineStr">
        <is>
          <t>c.US$38b AUM; European private debt ELTIF; parallel lending with banks</t>
        </is>
      </c>
      <c r="E20" s="6" t="inlineStr">
        <is>
          <t>n/a</t>
        </is>
      </c>
      <c r="F20" s="6" t="inlineStr">
        <is>
          <t>€5m to €30m</t>
        </is>
      </c>
      <c r="G20" s="6" t="inlineStr">
        <is>
          <t>Senior / unitranche; parallel lending</t>
        </is>
      </c>
      <c r="H20" s="6" t="inlineStr">
        <is>
          <t>Italy, Spain, France; no Greek office</t>
        </is>
      </c>
      <c r="I20" s="6" t="inlineStr">
        <is>
          <t>Mid-market</t>
        </is>
      </c>
      <c r="J20" s="6" t="inlineStr">
        <is>
          <t>Unknown</t>
        </is>
      </c>
      <c r="K20" s="11" t="n">
        <v>2</v>
      </c>
      <c r="L20" s="11" t="n">
        <v>2</v>
      </c>
      <c r="M20" s="11" t="n">
        <v>5</v>
      </c>
      <c r="N20" s="11" t="n">
        <v>2</v>
      </c>
      <c r="O20" s="11" t="n">
        <v>2</v>
      </c>
      <c r="P20" s="11" t="n">
        <v>1</v>
      </c>
      <c r="Q20" s="11" t="n">
        <v>3</v>
      </c>
      <c r="R20" s="12">
        <f>ROUND(SUMPRODUCT(K20:Q20,Scoring_Weights!$E$5:$K$5)/Scoring_Weights!$B$12*20,0)</f>
        <v/>
      </c>
      <c r="S20" s="13">
        <f>IF(R20&gt;=Scoring_Weights!$B$15,"Tier 1",IF(R20&gt;=Scoring_Weights!$B$16,"Tier 2","Tier 3"))</f>
        <v/>
      </c>
      <c r="T20" s="6" t="inlineStr">
        <is>
          <t>Curity growth line; ELTIF distribution model to study</t>
        </is>
      </c>
      <c r="U20" s="6" t="inlineStr">
        <is>
          <t>Cold</t>
        </is>
      </c>
      <c r="V20" s="6" t="inlineStr"/>
      <c r="W20" s="6" t="inlineStr">
        <is>
          <t>muzinich.com</t>
        </is>
      </c>
    </row>
    <row r="21">
      <c r="A21" s="6" t="inlineStr">
        <is>
          <t>Beechbrook Capital</t>
        </is>
      </c>
      <c r="B21" s="6" t="inlineStr">
        <is>
          <t>Lower-mid-market SME credit</t>
        </is>
      </c>
      <c r="C21" s="6" t="inlineStr">
        <is>
          <t>London</t>
        </is>
      </c>
      <c r="D21" s="6" t="inlineStr">
        <is>
          <t>UK SME Credit IV £151m first close; €2m to €25m bites</t>
        </is>
      </c>
      <c r="E21" s="6" t="inlineStr">
        <is>
          <t>£250m target</t>
        </is>
      </c>
      <c r="F21" s="6" t="inlineStr">
        <is>
          <t>€2m to €25m</t>
        </is>
      </c>
      <c r="G21" s="6" t="inlineStr">
        <is>
          <t>Senior, unitranche, mezz</t>
        </is>
      </c>
      <c r="H21" s="6" t="inlineStr">
        <is>
          <t>UK / Ireland mainly</t>
        </is>
      </c>
      <c r="I21" s="6" t="inlineStr">
        <is>
          <t>SMEs with EBITDA ≤£15m</t>
        </is>
      </c>
      <c r="J21" s="6" t="inlineStr">
        <is>
          <t>Unknown</t>
        </is>
      </c>
      <c r="K21" s="11" t="n">
        <v>1</v>
      </c>
      <c r="L21" s="11" t="n">
        <v>2</v>
      </c>
      <c r="M21" s="11" t="n">
        <v>5</v>
      </c>
      <c r="N21" s="11" t="n">
        <v>1</v>
      </c>
      <c r="O21" s="11" t="n">
        <v>2</v>
      </c>
      <c r="P21" s="11" t="n">
        <v>1</v>
      </c>
      <c r="Q21" s="11" t="n">
        <v>4</v>
      </c>
      <c r="R21" s="12">
        <f>ROUND(SUMPRODUCT(K21:Q21,Scoring_Weights!$E$5:$K$5)/Scoring_Weights!$B$12*20,0)</f>
        <v/>
      </c>
      <c r="S21" s="13">
        <f>IF(R21&gt;=Scoring_Weights!$B$15,"Tier 1",IF(R21&gt;=Scoring_Weights!$B$16,"Tier 2","Tier 3"))</f>
        <v/>
      </c>
      <c r="T21" s="6" t="inlineStr">
        <is>
          <t>Reference for terms; unlikely to lend in Greece</t>
        </is>
      </c>
      <c r="U21" s="6" t="inlineStr">
        <is>
          <t>Cold</t>
        </is>
      </c>
      <c r="V21" s="6" t="inlineStr"/>
      <c r="W21" s="6" t="inlineStr">
        <is>
          <t>ACI 07-11-2024</t>
        </is>
      </c>
    </row>
    <row r="22">
      <c r="A22" s="6" t="inlineStr">
        <is>
          <t>Hayfin Capital Management (Special Opportunities)</t>
        </is>
      </c>
      <c r="B22" s="6" t="inlineStr">
        <is>
          <t>Special situations / direct lending</t>
        </is>
      </c>
      <c r="C22" s="6" t="inlineStr">
        <is>
          <t>London</t>
        </is>
      </c>
      <c r="D22" s="6" t="inlineStr">
        <is>
          <t>DLF V &gt;€15b (Jul 2026); Special Opportunities strategy; on Cascade map (US$20-100b)</t>
        </is>
      </c>
      <c r="E22" s="6" t="inlineStr">
        <is>
          <t>&gt;€15b</t>
        </is>
      </c>
      <c r="F22" s="6" t="inlineStr">
        <is>
          <t>€25m to €150m</t>
        </is>
      </c>
      <c r="G22" s="6" t="inlineStr">
        <is>
          <t>Senior, special sits, hybrid</t>
        </is>
      </c>
      <c r="H22" s="6" t="inlineStr">
        <is>
          <t>Pan-European incl. Southern Europe</t>
        </is>
      </c>
      <c r="I22" s="6" t="inlineStr">
        <is>
          <t>Special-opportunities book takes asset-backed / complex credits</t>
        </is>
      </c>
      <c r="J22" s="6" t="inlineStr">
        <is>
          <t>Unknown</t>
        </is>
      </c>
      <c r="K22" s="11" t="n">
        <v>3</v>
      </c>
      <c r="L22" s="11" t="n">
        <v>1</v>
      </c>
      <c r="M22" s="11" t="n">
        <v>2</v>
      </c>
      <c r="N22" s="11" t="n">
        <v>3</v>
      </c>
      <c r="O22" s="11" t="n">
        <v>4</v>
      </c>
      <c r="P22" s="11" t="n">
        <v>1</v>
      </c>
      <c r="Q22" s="11" t="n">
        <v>2</v>
      </c>
      <c r="R22" s="12">
        <f>ROUND(SUMPRODUCT(K22:Q22,Scoring_Weights!$E$5:$K$5)/Scoring_Weights!$B$12*20,0)</f>
        <v/>
      </c>
      <c r="S22" s="13">
        <f>IF(R22&gt;=Scoring_Weights!$B$15,"Tier 1",IF(R22&gt;=Scoring_Weights!$B$16,"Tier 2","Tier 3"))</f>
        <v/>
      </c>
      <c r="T22" s="6" t="inlineStr">
        <is>
          <t>IVP-level or a €35m+ hybrid at FID; ticket floor is the issue</t>
        </is>
      </c>
      <c r="U22" s="6" t="inlineStr">
        <is>
          <t>Cold</t>
        </is>
      </c>
      <c r="V22" s="6" t="inlineStr"/>
      <c r="W22" s="6" t="inlineStr">
        <is>
          <t>hayfin.com 2026</t>
        </is>
      </c>
    </row>
    <row r="23">
      <c r="A23" s="6" t="inlineStr">
        <is>
          <t>Tikehau Capital (Private Debt / Special Opportunities / Decarbonisation)</t>
        </is>
      </c>
      <c r="B23" s="6" t="inlineStr">
        <is>
          <t>Private debt, special sits, transition</t>
        </is>
      </c>
      <c r="C23" s="6" t="inlineStr">
        <is>
          <t>Paris / Madrid / Milan</t>
        </is>
      </c>
      <c r="D23" s="6" t="inlineStr">
        <is>
          <t>European DL VI €5.2b (Jul 2026); special sits €1b+ (H1 2026); on Cascade map</t>
        </is>
      </c>
      <c r="E23" s="6" t="inlineStr">
        <is>
          <t>€5.2b</t>
        </is>
      </c>
      <c r="F23" s="6" t="inlineStr">
        <is>
          <t>€20m to €100m</t>
        </is>
      </c>
      <c r="G23" s="6" t="inlineStr">
        <is>
          <t>Senior, special sits, decarbonisation equity</t>
        </is>
      </c>
      <c r="H23" s="6" t="inlineStr">
        <is>
          <t>Iberia, Italy; no Greek office</t>
        </is>
      </c>
      <c r="I23" s="6" t="inlineStr">
        <is>
          <t>Decarbonisation strategy invests in transition assets</t>
        </is>
      </c>
      <c r="J23" s="6" t="inlineStr">
        <is>
          <t>Unknown</t>
        </is>
      </c>
      <c r="K23" s="11" t="n">
        <v>3</v>
      </c>
      <c r="L23" s="11" t="n">
        <v>1</v>
      </c>
      <c r="M23" s="11" t="n">
        <v>3</v>
      </c>
      <c r="N23" s="11" t="n">
        <v>3</v>
      </c>
      <c r="O23" s="11" t="n">
        <v>3</v>
      </c>
      <c r="P23" s="11" t="n">
        <v>1</v>
      </c>
      <c r="Q23" s="11" t="n">
        <v>2</v>
      </c>
      <c r="R23" s="12">
        <f>ROUND(SUMPRODUCT(K23:Q23,Scoring_Weights!$E$5:$K$5)/Scoring_Weights!$B$12*20,0)</f>
        <v/>
      </c>
      <c r="S23" s="13">
        <f>IF(R23&gt;=Scoring_Weights!$B$15,"Tier 1",IF(R23&gt;=Scoring_Weights!$B$16,"Tier 2","Tier 3"))</f>
        <v/>
      </c>
      <c r="T23" s="6" t="inlineStr">
        <is>
          <t>Special Opportunities or Decarbonisation team for IVP / IPL</t>
        </is>
      </c>
      <c r="U23" s="6" t="inlineStr">
        <is>
          <t>Cold - LinkedIn first</t>
        </is>
      </c>
      <c r="V23" s="6" t="inlineStr"/>
      <c r="W23" s="6" t="inlineStr">
        <is>
          <t>ACI 24-07-2026</t>
        </is>
      </c>
    </row>
    <row r="24">
      <c r="A24" s="6" t="inlineStr">
        <is>
          <t>Pemberton Asset Management</t>
        </is>
      </c>
      <c r="B24" s="6" t="inlineStr">
        <is>
          <t>Mid-market private credit; NAV</t>
        </is>
      </c>
      <c r="C24" s="6" t="inlineStr">
        <is>
          <t>London</t>
        </is>
      </c>
      <c r="D24" s="6" t="inlineStr">
        <is>
          <t>MMD IV + Senior Loan €6.1b; NAV Core I US$1.7b; on Cascade map</t>
        </is>
      </c>
      <c r="E24" s="6" t="inlineStr">
        <is>
          <t>US$29b AUM</t>
        </is>
      </c>
      <c r="F24" s="6" t="inlineStr">
        <is>
          <t>€30m to €150m</t>
        </is>
      </c>
      <c r="G24" s="6" t="inlineStr">
        <is>
          <t>Senior, unitranche, NAV</t>
        </is>
      </c>
      <c r="H24" s="6" t="inlineStr">
        <is>
          <t>Pan-European</t>
        </is>
      </c>
      <c r="I24" s="6" t="inlineStr">
        <is>
          <t>Corporate</t>
        </is>
      </c>
      <c r="J24" s="6" t="inlineStr">
        <is>
          <t>Unknown</t>
        </is>
      </c>
      <c r="K24" s="11" t="n">
        <v>1</v>
      </c>
      <c r="L24" s="11" t="n">
        <v>1</v>
      </c>
      <c r="M24" s="11" t="n">
        <v>2</v>
      </c>
      <c r="N24" s="11" t="n">
        <v>2</v>
      </c>
      <c r="O24" s="11" t="n">
        <v>2</v>
      </c>
      <c r="P24" s="11" t="n">
        <v>1</v>
      </c>
      <c r="Q24" s="11" t="n">
        <v>2</v>
      </c>
      <c r="R24" s="12">
        <f>ROUND(SUMPRODUCT(K24:Q24,Scoring_Weights!$E$5:$K$5)/Scoring_Weights!$B$12*20,0)</f>
        <v/>
      </c>
      <c r="S24" s="13">
        <f>IF(R24&gt;=Scoring_Weights!$B$15,"Tier 1",IF(R24&gt;=Scoring_Weights!$B$16,"Tier 2","Tier 3"))</f>
        <v/>
      </c>
      <c r="T24" s="6" t="inlineStr">
        <is>
          <t>Tier 3 - keep informed</t>
        </is>
      </c>
      <c r="U24" s="6" t="inlineStr">
        <is>
          <t>Cold</t>
        </is>
      </c>
      <c r="V24" s="6" t="inlineStr"/>
      <c r="W24" s="6" t="inlineStr">
        <is>
          <t>creditflux 14-05-2025</t>
        </is>
      </c>
    </row>
    <row r="25">
      <c r="A25" s="6" t="inlineStr">
        <is>
          <t>Arcmont Asset Management (Impact Lending)</t>
        </is>
      </c>
      <c r="B25" s="6" t="inlineStr">
        <is>
          <t>Direct lending</t>
        </is>
      </c>
      <c r="C25" s="6" t="inlineStr">
        <is>
          <t>London</t>
        </is>
      </c>
      <c r="D25" s="6" t="inlineStr">
        <is>
          <t>DL V €15-17b target; Impact Lending strategy</t>
        </is>
      </c>
      <c r="E25" s="6" t="inlineStr">
        <is>
          <t>&gt;€11b raised</t>
        </is>
      </c>
      <c r="F25" s="6" t="inlineStr">
        <is>
          <t>€30m to €200m</t>
        </is>
      </c>
      <c r="G25" s="6" t="inlineStr">
        <is>
          <t>Senior / unitranche</t>
        </is>
      </c>
      <c r="H25" s="6" t="inlineStr">
        <is>
          <t>Pan-European</t>
        </is>
      </c>
      <c r="I25" s="6" t="inlineStr">
        <is>
          <t>Impact Lending sleeve</t>
        </is>
      </c>
      <c r="J25" s="6" t="inlineStr">
        <is>
          <t>Unknown</t>
        </is>
      </c>
      <c r="K25" s="11" t="n">
        <v>1</v>
      </c>
      <c r="L25" s="11" t="n">
        <v>1</v>
      </c>
      <c r="M25" s="11" t="n">
        <v>2</v>
      </c>
      <c r="N25" s="11" t="n">
        <v>2</v>
      </c>
      <c r="O25" s="11" t="n">
        <v>2</v>
      </c>
      <c r="P25" s="11" t="n">
        <v>1</v>
      </c>
      <c r="Q25" s="11" t="n">
        <v>2</v>
      </c>
      <c r="R25" s="12">
        <f>ROUND(SUMPRODUCT(K25:Q25,Scoring_Weights!$E$5:$K$5)/Scoring_Weights!$B$12*20,0)</f>
        <v/>
      </c>
      <c r="S25" s="13">
        <f>IF(R25&gt;=Scoring_Weights!$B$15,"Tier 1",IF(R25&gt;=Scoring_Weights!$B$16,"Tier 2","Tier 3"))</f>
        <v/>
      </c>
      <c r="T25" s="6" t="inlineStr">
        <is>
          <t>Tier 3</t>
        </is>
      </c>
      <c r="U25" s="6" t="inlineStr">
        <is>
          <t>Cold</t>
        </is>
      </c>
      <c r="V25" s="6" t="inlineStr"/>
      <c r="W25" s="6" t="inlineStr">
        <is>
          <t>PitchBook 2026</t>
        </is>
      </c>
    </row>
    <row r="26">
      <c r="A26" s="6" t="inlineStr">
        <is>
          <t>Blantyre Capital</t>
        </is>
      </c>
      <c r="B26" s="6" t="inlineStr">
        <is>
          <t>Special situations</t>
        </is>
      </c>
      <c r="C26" s="6" t="inlineStr">
        <is>
          <t>London</t>
        </is>
      </c>
      <c r="D26" s="6" t="inlineStr">
        <is>
          <t>Special Situations Fund II</t>
        </is>
      </c>
      <c r="E26" s="6" t="inlineStr">
        <is>
          <t>n/a</t>
        </is>
      </c>
      <c r="F26" s="6" t="inlineStr">
        <is>
          <t>€10m to €75m</t>
        </is>
      </c>
      <c r="G26" s="6" t="inlineStr">
        <is>
          <t>Bespoke capital solutions, PIK</t>
        </is>
      </c>
      <c r="H26" s="6" t="inlineStr">
        <is>
          <t>Pan-European incl. Southern Europe [K]</t>
        </is>
      </c>
      <c r="I26" s="6" t="inlineStr">
        <is>
          <t>Complex / stressed credits</t>
        </is>
      </c>
      <c r="J26" s="6" t="inlineStr">
        <is>
          <t>Unknown</t>
        </is>
      </c>
      <c r="K26" s="11" t="n">
        <v>3</v>
      </c>
      <c r="L26" s="11" t="n">
        <v>1</v>
      </c>
      <c r="M26" s="11" t="n">
        <v>4</v>
      </c>
      <c r="N26" s="11" t="n">
        <v>3</v>
      </c>
      <c r="O26" s="11" t="n">
        <v>5</v>
      </c>
      <c r="P26" s="11" t="n">
        <v>1</v>
      </c>
      <c r="Q26" s="11" t="n">
        <v>3</v>
      </c>
      <c r="R26" s="12">
        <f>ROUND(SUMPRODUCT(K26:Q26,Scoring_Weights!$E$5:$K$5)/Scoring_Weights!$B$12*20,0)</f>
        <v/>
      </c>
      <c r="S26" s="13">
        <f>IF(R26&gt;=Scoring_Weights!$B$15,"Tier 1",IF(R26&gt;=Scoring_Weights!$B$16,"Tier 2","Tier 3"))</f>
        <v/>
      </c>
      <c r="T26" s="6" t="inlineStr">
        <is>
          <t>€35m hybrid at 14% to 18% all-in</t>
        </is>
      </c>
      <c r="U26" s="6" t="inlineStr">
        <is>
          <t>Cold - LinkedIn first</t>
        </is>
      </c>
      <c r="V26" s="6" t="inlineStr"/>
      <c r="W26" s="6" t="inlineStr">
        <is>
          <t>PitchBook fund profile</t>
        </is>
      </c>
    </row>
    <row r="27">
      <c r="A27" s="6" t="inlineStr">
        <is>
          <t>Cheyne Capital (Strategic Value Credit)</t>
        </is>
      </c>
      <c r="B27" s="6" t="inlineStr">
        <is>
          <t>Special situations / real assets</t>
        </is>
      </c>
      <c r="C27" s="6" t="inlineStr">
        <is>
          <t>London</t>
        </is>
      </c>
      <c r="D27" s="6" t="inlineStr">
        <is>
          <t>Strategic Value Credit; real-estate credit; on Cascade map</t>
        </is>
      </c>
      <c r="E27" s="6" t="inlineStr">
        <is>
          <t>n/a</t>
        </is>
      </c>
      <c r="F27" s="6" t="inlineStr">
        <is>
          <t>€20m to €150m</t>
        </is>
      </c>
      <c r="G27" s="6" t="inlineStr">
        <is>
          <t>Opportunistic credit, real-asset lending</t>
        </is>
      </c>
      <c r="H27" s="6" t="inlineStr">
        <is>
          <t>Pan-European</t>
        </is>
      </c>
      <c r="I27" s="6" t="inlineStr">
        <is>
          <t>Real assets</t>
        </is>
      </c>
      <c r="J27" s="6" t="inlineStr">
        <is>
          <t>Unknown</t>
        </is>
      </c>
      <c r="K27" s="11" t="n">
        <v>3</v>
      </c>
      <c r="L27" s="11" t="n">
        <v>1</v>
      </c>
      <c r="M27" s="11" t="n">
        <v>3</v>
      </c>
      <c r="N27" s="11" t="n">
        <v>2</v>
      </c>
      <c r="O27" s="11" t="n">
        <v>4</v>
      </c>
      <c r="P27" s="11" t="n">
        <v>1</v>
      </c>
      <c r="Q27" s="11" t="n">
        <v>2</v>
      </c>
      <c r="R27" s="12">
        <f>ROUND(SUMPRODUCT(K27:Q27,Scoring_Weights!$E$5:$K$5)/Scoring_Weights!$B$12*20,0)</f>
        <v/>
      </c>
      <c r="S27" s="13">
        <f>IF(R27&gt;=Scoring_Weights!$B$15,"Tier 1",IF(R27&gt;=Scoring_Weights!$B$16,"Tier 2","Tier 3"))</f>
        <v/>
      </c>
      <c r="T27" s="6" t="inlineStr">
        <is>
          <t>Wave 2</t>
        </is>
      </c>
      <c r="U27" s="6" t="inlineStr">
        <is>
          <t>Cold</t>
        </is>
      </c>
      <c r="V27" s="6" t="inlineStr"/>
      <c r="W27" s="6" t="inlineStr">
        <is>
          <t>cheynecapital.com</t>
        </is>
      </c>
    </row>
    <row r="28">
      <c r="A28" s="6" t="inlineStr">
        <is>
          <t>Arini</t>
        </is>
      </c>
      <c r="B28" s="6" t="inlineStr">
        <is>
          <t>Credit / direct lending (new)</t>
        </is>
      </c>
      <c r="C28" s="6" t="inlineStr">
        <is>
          <t>London</t>
        </is>
      </c>
      <c r="D28" s="6" t="inlineStr">
        <is>
          <t>DL Fund I c.US$4b nearing close (Sep 2026)</t>
        </is>
      </c>
      <c r="E28" s="6" t="inlineStr">
        <is>
          <t>US$4b</t>
        </is>
      </c>
      <c r="F28" s="6" t="inlineStr">
        <is>
          <t>€25m to €150m</t>
        </is>
      </c>
      <c r="G28" s="6" t="inlineStr">
        <is>
          <t>Direct lending, opportunistic</t>
        </is>
      </c>
      <c r="H28" s="6" t="inlineStr">
        <is>
          <t>Pan-European</t>
        </is>
      </c>
      <c r="I28" s="6" t="inlineStr">
        <is>
          <t>n/a</t>
        </is>
      </c>
      <c r="J28" s="6" t="inlineStr">
        <is>
          <t>Unknown</t>
        </is>
      </c>
      <c r="K28" s="11" t="n">
        <v>2</v>
      </c>
      <c r="L28" s="11" t="n">
        <v>1</v>
      </c>
      <c r="M28" s="11" t="n">
        <v>2</v>
      </c>
      <c r="N28" s="11" t="n">
        <v>2</v>
      </c>
      <c r="O28" s="11" t="n">
        <v>4</v>
      </c>
      <c r="P28" s="11" t="n">
        <v>1</v>
      </c>
      <c r="Q28" s="11" t="n">
        <v>3</v>
      </c>
      <c r="R28" s="12">
        <f>ROUND(SUMPRODUCT(K28:Q28,Scoring_Weights!$E$5:$K$5)/Scoring_Weights!$B$12*20,0)</f>
        <v/>
      </c>
      <c r="S28" s="13">
        <f>IF(R28&gt;=Scoring_Weights!$B$15,"Tier 1",IF(R28&gt;=Scoring_Weights!$B$16,"Tier 2","Tier 3"))</f>
        <v/>
      </c>
      <c r="T28" s="6" t="inlineStr">
        <is>
          <t>Wave 2</t>
        </is>
      </c>
      <c r="U28" s="6" t="inlineStr">
        <is>
          <t>Cold</t>
        </is>
      </c>
      <c r="V28" s="6" t="inlineStr"/>
      <c r="W28" s="6" t="inlineStr">
        <is>
          <t>Bloomberg 10-09-2026</t>
        </is>
      </c>
    </row>
    <row r="29">
      <c r="A29" s="6" t="inlineStr">
        <is>
          <t>Fasanara Capital</t>
        </is>
      </c>
      <c r="B29" s="6" t="inlineStr">
        <is>
          <t>Fintech / ABF / specialty credit</t>
        </is>
      </c>
      <c r="C29" s="6" t="inlineStr">
        <is>
          <t>London</t>
        </is>
      </c>
      <c r="D29" s="6" t="inlineStr">
        <is>
          <t>Diversified specialty finance; IFC partnership 2026</t>
        </is>
      </c>
      <c r="E29" s="6" t="inlineStr">
        <is>
          <t>n/a</t>
        </is>
      </c>
      <c r="F29" s="6" t="inlineStr">
        <is>
          <t>€5m to €50m</t>
        </is>
      </c>
      <c r="G29" s="6" t="inlineStr">
        <is>
          <t>Receivables, ABF, venture</t>
        </is>
      </c>
      <c r="H29" s="6" t="inlineStr">
        <is>
          <t>Pan-European</t>
        </is>
      </c>
      <c r="I29" s="6" t="inlineStr">
        <is>
          <t>Receivables / platform lending</t>
        </is>
      </c>
      <c r="J29" s="6" t="inlineStr">
        <is>
          <t>Unknown</t>
        </is>
      </c>
      <c r="K29" s="11" t="n">
        <v>1</v>
      </c>
      <c r="L29" s="11" t="n">
        <v>2</v>
      </c>
      <c r="M29" s="11" t="n">
        <v>4</v>
      </c>
      <c r="N29" s="11" t="n">
        <v>2</v>
      </c>
      <c r="O29" s="11" t="n">
        <v>3</v>
      </c>
      <c r="P29" s="11" t="n">
        <v>1</v>
      </c>
      <c r="Q29" s="11" t="n">
        <v>3</v>
      </c>
      <c r="R29" s="12">
        <f>ROUND(SUMPRODUCT(K29:Q29,Scoring_Weights!$E$5:$K$5)/Scoring_Weights!$B$12*20,0)</f>
        <v/>
      </c>
      <c r="S29" s="13">
        <f>IF(R29&gt;=Scoring_Weights!$B$15,"Tier 1",IF(R29&gt;=Scoring_Weights!$B$16,"Tier 2","Tier 3"))</f>
        <v/>
      </c>
      <c r="T29" s="6" t="inlineStr">
        <is>
          <t>Curity receivables line once German sales flow</t>
        </is>
      </c>
      <c r="U29" s="6" t="inlineStr">
        <is>
          <t>Cold</t>
        </is>
      </c>
      <c r="V29" s="6" t="inlineStr"/>
      <c r="W29" s="6" t="inlineStr">
        <is>
          <t>ACI 02-03-2026</t>
        </is>
      </c>
    </row>
    <row r="30">
      <c r="A30" s="6" t="inlineStr">
        <is>
          <t>Pollen Street Capital</t>
        </is>
      </c>
      <c r="B30" s="6" t="inlineStr">
        <is>
          <t>Asset-backed credit / specialty finance</t>
        </is>
      </c>
      <c r="C30" s="6" t="inlineStr">
        <is>
          <t>London</t>
        </is>
      </c>
      <c r="D30" s="6" t="inlineStr">
        <is>
          <t>Credit Fund IV £2.5b (Apr 2026); on Cascade map</t>
        </is>
      </c>
      <c r="E30" s="6" t="inlineStr">
        <is>
          <t>£2.5b</t>
        </is>
      </c>
      <c r="F30" s="6" t="inlineStr">
        <is>
          <t>€20m to €150m</t>
        </is>
      </c>
      <c r="G30" s="6" t="inlineStr">
        <is>
          <t>Asset-backed lending, forward flow</t>
        </is>
      </c>
      <c r="H30" s="6" t="inlineStr">
        <is>
          <t>UK / Europe</t>
        </is>
      </c>
      <c r="I30" s="6" t="inlineStr">
        <is>
          <t>Specialty finance</t>
        </is>
      </c>
      <c r="J30" s="6" t="inlineStr">
        <is>
          <t>Unknown</t>
        </is>
      </c>
      <c r="K30" s="11" t="n">
        <v>1</v>
      </c>
      <c r="L30" s="11" t="n">
        <v>1</v>
      </c>
      <c r="M30" s="11" t="n">
        <v>3</v>
      </c>
      <c r="N30" s="11" t="n">
        <v>2</v>
      </c>
      <c r="O30" s="11" t="n">
        <v>3</v>
      </c>
      <c r="P30" s="11" t="n">
        <v>1</v>
      </c>
      <c r="Q30" s="11" t="n">
        <v>2</v>
      </c>
      <c r="R30" s="12">
        <f>ROUND(SUMPRODUCT(K30:Q30,Scoring_Weights!$E$5:$K$5)/Scoring_Weights!$B$12*20,0)</f>
        <v/>
      </c>
      <c r="S30" s="13">
        <f>IF(R30&gt;=Scoring_Weights!$B$15,"Tier 1",IF(R30&gt;=Scoring_Weights!$B$16,"Tier 2","Tier 3"))</f>
        <v/>
      </c>
      <c r="T30" s="6" t="inlineStr">
        <is>
          <t>Tier 3</t>
        </is>
      </c>
      <c r="U30" s="6" t="inlineStr">
        <is>
          <t>Cold</t>
        </is>
      </c>
      <c r="V30" s="6" t="inlineStr"/>
      <c r="W30" s="6" t="inlineStr">
        <is>
          <t>Kirkland press Apr 2026</t>
        </is>
      </c>
    </row>
    <row r="31">
      <c r="A31" s="6" t="inlineStr">
        <is>
          <t>Arrow Global</t>
        </is>
      </c>
      <c r="B31" s="6" t="inlineStr">
        <is>
          <t>Southern Europe ABF / real estate credit</t>
        </is>
      </c>
      <c r="C31" s="6" t="inlineStr">
        <is>
          <t>London / Lisbon / Milan</t>
        </is>
      </c>
      <c r="D31" s="6" t="inlineStr">
        <is>
          <t>ALO I €1.5b; €4.2b commitments (Nov 2025); FUM €15.3b</t>
        </is>
      </c>
      <c r="E31" s="6" t="inlineStr">
        <is>
          <t>€15.3b</t>
        </is>
      </c>
      <c r="F31" s="6" t="inlineStr">
        <is>
          <t>€10m to €100m</t>
        </is>
      </c>
      <c r="G31" s="6" t="inlineStr">
        <is>
          <t>Asset-backed, RE credit, NPL</t>
        </is>
      </c>
      <c r="H31" s="6" t="inlineStr">
        <is>
          <t>Portugal, Italy, Spain; servicer platforms</t>
        </is>
      </c>
      <c r="I31" s="6" t="inlineStr">
        <is>
          <t>Real-asset backed</t>
        </is>
      </c>
      <c r="J31" s="6" t="inlineStr">
        <is>
          <t>Unknown</t>
        </is>
      </c>
      <c r="K31" s="11" t="n">
        <v>2</v>
      </c>
      <c r="L31" s="11" t="n">
        <v>1</v>
      </c>
      <c r="M31" s="11" t="n">
        <v>3</v>
      </c>
      <c r="N31" s="11" t="n">
        <v>3</v>
      </c>
      <c r="O31" s="11" t="n">
        <v>3</v>
      </c>
      <c r="P31" s="11" t="n">
        <v>1</v>
      </c>
      <c r="Q31" s="11" t="n">
        <v>2</v>
      </c>
      <c r="R31" s="12">
        <f>ROUND(SUMPRODUCT(K31:Q31,Scoring_Weights!$E$5:$K$5)/Scoring_Weights!$B$12*20,0)</f>
        <v/>
      </c>
      <c r="S31" s="13">
        <f>IF(R31&gt;=Scoring_Weights!$B$15,"Tier 1",IF(R31&gt;=Scoring_Weights!$B$16,"Tier 2","Tier 3"))</f>
        <v/>
      </c>
      <c r="T31" s="6" t="inlineStr">
        <is>
          <t>Wave 2 - real-asset lending team</t>
        </is>
      </c>
      <c r="U31" s="6" t="inlineStr">
        <is>
          <t>Cold</t>
        </is>
      </c>
      <c r="V31" s="6" t="inlineStr"/>
      <c r="W31" s="6" t="inlineStr">
        <is>
          <t>arrowglobal.net</t>
        </is>
      </c>
    </row>
    <row r="32">
      <c r="A32" s="6" t="inlineStr">
        <is>
          <t>Incus Capital</t>
        </is>
      </c>
      <c r="B32" s="6" t="inlineStr">
        <is>
          <t>Iberian special situations / asset-backed</t>
        </is>
      </c>
      <c r="C32" s="6" t="inlineStr">
        <is>
          <t>Madrid / Lisbon</t>
        </is>
      </c>
      <c r="D32" s="6" t="inlineStr">
        <is>
          <t>Real-asset and corporate special situations; on Cascade map</t>
        </is>
      </c>
      <c r="E32" s="6" t="inlineStr">
        <is>
          <t>n/a</t>
        </is>
      </c>
      <c r="F32" s="6" t="inlineStr">
        <is>
          <t>€10m to €50m</t>
        </is>
      </c>
      <c r="G32" s="6" t="inlineStr">
        <is>
          <t>Asset-backed senior / mezz</t>
        </is>
      </c>
      <c r="H32" s="6" t="inlineStr">
        <is>
          <t>Iberia; Southern Europe</t>
        </is>
      </c>
      <c r="I32" s="6" t="inlineStr">
        <is>
          <t>Real assets incl. renewables</t>
        </is>
      </c>
      <c r="J32" s="6" t="inlineStr">
        <is>
          <t>Unknown</t>
        </is>
      </c>
      <c r="K32" s="11" t="n">
        <v>3</v>
      </c>
      <c r="L32" s="11" t="n">
        <v>1</v>
      </c>
      <c r="M32" s="11" t="n">
        <v>5</v>
      </c>
      <c r="N32" s="11" t="n">
        <v>3</v>
      </c>
      <c r="O32" s="11" t="n">
        <v>4</v>
      </c>
      <c r="P32" s="11" t="n">
        <v>1</v>
      </c>
      <c r="Q32" s="11" t="n">
        <v>3</v>
      </c>
      <c r="R32" s="12">
        <f>ROUND(SUMPRODUCT(K32:Q32,Scoring_Weights!$E$5:$K$5)/Scoring_Weights!$B$12*20,0)</f>
        <v/>
      </c>
      <c r="S32" s="13">
        <f>IF(R32&gt;=Scoring_Weights!$B$15,"Tier 1",IF(R32&gt;=Scoring_Weights!$B$16,"Tier 2","Tier 3"))</f>
        <v/>
      </c>
      <c r="T32" s="6" t="inlineStr">
        <is>
          <t>Best Southern-Europe special-sits fit for a €20m to €35m tranche</t>
        </is>
      </c>
      <c r="U32" s="6" t="inlineStr">
        <is>
          <t>Cold - LinkedIn first</t>
        </is>
      </c>
      <c r="V32" s="6" t="inlineStr"/>
      <c r="W32" s="6" t="inlineStr">
        <is>
          <t>incuscapital.com [K]</t>
        </is>
      </c>
    </row>
    <row r="33">
      <c r="A33" s="6" t="inlineStr">
        <is>
          <t>Chenavari Investment Managers</t>
        </is>
      </c>
      <c r="B33" s="6" t="inlineStr">
        <is>
          <t>Specialty credit / ABF</t>
        </is>
      </c>
      <c r="C33" s="6" t="inlineStr">
        <is>
          <t>London</t>
        </is>
      </c>
      <c r="D33" s="6" t="inlineStr">
        <is>
          <t>On Cascade map (&lt;US$5b)</t>
        </is>
      </c>
      <c r="E33" s="6" t="inlineStr">
        <is>
          <t>n/a</t>
        </is>
      </c>
      <c r="F33" s="6" t="inlineStr">
        <is>
          <t>€10m to €60m</t>
        </is>
      </c>
      <c r="G33" s="6" t="inlineStr">
        <is>
          <t>ABL, structured credit</t>
        </is>
      </c>
      <c r="H33" s="6" t="inlineStr">
        <is>
          <t>Pan-European</t>
        </is>
      </c>
      <c r="I33" s="6" t="inlineStr">
        <is>
          <t>Asset-backed</t>
        </is>
      </c>
      <c r="J33" s="6" t="inlineStr">
        <is>
          <t>Unknown</t>
        </is>
      </c>
      <c r="K33" s="11" t="n">
        <v>2</v>
      </c>
      <c r="L33" s="11" t="n">
        <v>1</v>
      </c>
      <c r="M33" s="11" t="n">
        <v>4</v>
      </c>
      <c r="N33" s="11" t="n">
        <v>2</v>
      </c>
      <c r="O33" s="11" t="n">
        <v>3</v>
      </c>
      <c r="P33" s="11" t="n">
        <v>1</v>
      </c>
      <c r="Q33" s="11" t="n">
        <v>3</v>
      </c>
      <c r="R33" s="12">
        <f>ROUND(SUMPRODUCT(K33:Q33,Scoring_Weights!$E$5:$K$5)/Scoring_Weights!$B$12*20,0)</f>
        <v/>
      </c>
      <c r="S33" s="13">
        <f>IF(R33&gt;=Scoring_Weights!$B$15,"Tier 1",IF(R33&gt;=Scoring_Weights!$B$16,"Tier 2","Tier 3"))</f>
        <v/>
      </c>
      <c r="T33" s="6" t="inlineStr">
        <is>
          <t>Wave 2</t>
        </is>
      </c>
      <c r="U33" s="6" t="inlineStr">
        <is>
          <t>Cold</t>
        </is>
      </c>
      <c r="V33" s="6" t="inlineStr"/>
      <c r="W33" s="6" t="inlineStr">
        <is>
          <t>Cascade map</t>
        </is>
      </c>
    </row>
    <row r="34">
      <c r="A34" s="6" t="inlineStr">
        <is>
          <t>Davidson Kempner</t>
        </is>
      </c>
      <c r="B34" s="6" t="inlineStr">
        <is>
          <t>Special situations / ABF; Greece (Cepal)</t>
        </is>
      </c>
      <c r="C34" s="6" t="inlineStr">
        <is>
          <t>London / New York</t>
        </is>
      </c>
      <c r="D34" s="6" t="inlineStr">
        <is>
          <t>Owns Cepal (Greek servicer, €30b); on Cascade map</t>
        </is>
      </c>
      <c r="E34" s="6" t="inlineStr">
        <is>
          <t>n/a</t>
        </is>
      </c>
      <c r="F34" s="6" t="inlineStr">
        <is>
          <t>€25m to €200m</t>
        </is>
      </c>
      <c r="G34" s="6" t="inlineStr">
        <is>
          <t>Opportunistic credit, ABF, NPL</t>
        </is>
      </c>
      <c r="H34" s="6" t="inlineStr">
        <is>
          <t>Deep Greek presence</t>
        </is>
      </c>
      <c r="I34" s="6" t="inlineStr">
        <is>
          <t>Real-asset backed</t>
        </is>
      </c>
      <c r="J34" s="6" t="inlineStr">
        <is>
          <t>Unknown</t>
        </is>
      </c>
      <c r="K34" s="11" t="n">
        <v>3</v>
      </c>
      <c r="L34" s="11" t="n">
        <v>0</v>
      </c>
      <c r="M34" s="11" t="n">
        <v>3</v>
      </c>
      <c r="N34" s="11" t="n">
        <v>5</v>
      </c>
      <c r="O34" s="11" t="n">
        <v>4</v>
      </c>
      <c r="P34" s="11" t="n">
        <v>1</v>
      </c>
      <c r="Q34" s="11" t="n">
        <v>2</v>
      </c>
      <c r="R34" s="12">
        <f>ROUND(SUMPRODUCT(K34:Q34,Scoring_Weights!$E$5:$K$5)/Scoring_Weights!$B$12*20,0)</f>
        <v/>
      </c>
      <c r="S34" s="13">
        <f>IF(R34&gt;=Scoring_Weights!$B$15,"Tier 1",IF(R34&gt;=Scoring_Weights!$B$16,"Tier 2","Tier 3"))</f>
        <v/>
      </c>
      <c r="T34" s="6" t="inlineStr">
        <is>
          <t>Greek team as entry for an IPL / IVP hybrid</t>
        </is>
      </c>
      <c r="U34" s="6" t="inlineStr">
        <is>
          <t>Cold - Greek team</t>
        </is>
      </c>
      <c r="V34" s="6" t="inlineStr"/>
      <c r="W34" s="6" t="inlineStr">
        <is>
          <t>hellaz.eu; Cascade map</t>
        </is>
      </c>
    </row>
    <row r="35">
      <c r="A35" s="6" t="inlineStr">
        <is>
          <t>Fortress Investment Group</t>
        </is>
      </c>
      <c r="B35" s="6" t="inlineStr">
        <is>
          <t>Special situations / ABF; Greece</t>
        </is>
      </c>
      <c r="C35" s="6" t="inlineStr">
        <is>
          <t>London / Athens exposure</t>
        </is>
      </c>
      <c r="D35" s="6" t="inlineStr">
        <is>
          <t>Fortress / Bain / Bracebridge €4.8b PQH Greek NPLs (Aug 2024); on Cascade map</t>
        </is>
      </c>
      <c r="E35" s="6" t="inlineStr">
        <is>
          <t>n/a</t>
        </is>
      </c>
      <c r="F35" s="6" t="inlineStr">
        <is>
          <t>€25m to €300m</t>
        </is>
      </c>
      <c r="G35" s="6" t="inlineStr">
        <is>
          <t>Opportunistic, ABF, real assets</t>
        </is>
      </c>
      <c r="H35" s="6" t="inlineStr">
        <is>
          <t>Greek NPL platforms</t>
        </is>
      </c>
      <c r="I35" s="6" t="inlineStr">
        <is>
          <t>Real assets</t>
        </is>
      </c>
      <c r="J35" s="6" t="inlineStr">
        <is>
          <t>Unknown</t>
        </is>
      </c>
      <c r="K35" s="11" t="n">
        <v>3</v>
      </c>
      <c r="L35" s="11" t="n">
        <v>0</v>
      </c>
      <c r="M35" s="11" t="n">
        <v>2</v>
      </c>
      <c r="N35" s="11" t="n">
        <v>4</v>
      </c>
      <c r="O35" s="11" t="n">
        <v>4</v>
      </c>
      <c r="P35" s="11" t="n">
        <v>1</v>
      </c>
      <c r="Q35" s="11" t="n">
        <v>2</v>
      </c>
      <c r="R35" s="12">
        <f>ROUND(SUMPRODUCT(K35:Q35,Scoring_Weights!$E$5:$K$5)/Scoring_Weights!$B$12*20,0)</f>
        <v/>
      </c>
      <c r="S35" s="13">
        <f>IF(R35&gt;=Scoring_Weights!$B$15,"Tier 1",IF(R35&gt;=Scoring_Weights!$B$16,"Tier 2","Tier 3"))</f>
        <v/>
      </c>
      <c r="T35" s="6" t="inlineStr">
        <is>
          <t>IVP-level</t>
        </is>
      </c>
      <c r="U35" s="6" t="inlineStr">
        <is>
          <t>Cold</t>
        </is>
      </c>
      <c r="V35" s="6" t="inlineStr"/>
      <c r="W35" s="6" t="inlineStr">
        <is>
          <t>Bloomberg Law Aug 2024</t>
        </is>
      </c>
    </row>
    <row r="36">
      <c r="A36" s="6" t="inlineStr">
        <is>
          <t>Bain Capital Credit (Special Situations)</t>
        </is>
      </c>
      <c r="B36" s="6" t="inlineStr">
        <is>
          <t>Special situations; Greece</t>
        </is>
      </c>
      <c r="C36" s="6" t="inlineStr">
        <is>
          <t>London</t>
        </is>
      </c>
      <c r="D36" s="6" t="inlineStr">
        <is>
          <t>Greek NPL and real-asset investments; on Cascade map</t>
        </is>
      </c>
      <c r="E36" s="6" t="inlineStr">
        <is>
          <t>n/a</t>
        </is>
      </c>
      <c r="F36" s="6" t="inlineStr">
        <is>
          <t>€25m to €200m</t>
        </is>
      </c>
      <c r="G36" s="6" t="inlineStr">
        <is>
          <t>Special sits</t>
        </is>
      </c>
      <c r="H36" s="6" t="inlineStr">
        <is>
          <t>Greek</t>
        </is>
      </c>
      <c r="I36" s="6" t="inlineStr">
        <is>
          <t>Real assets</t>
        </is>
      </c>
      <c r="J36" s="6" t="inlineStr">
        <is>
          <t>Unknown</t>
        </is>
      </c>
      <c r="K36" s="11" t="n">
        <v>3</v>
      </c>
      <c r="L36" s="11" t="n">
        <v>0</v>
      </c>
      <c r="M36" s="11" t="n">
        <v>2</v>
      </c>
      <c r="N36" s="11" t="n">
        <v>4</v>
      </c>
      <c r="O36" s="11" t="n">
        <v>4</v>
      </c>
      <c r="P36" s="11" t="n">
        <v>1</v>
      </c>
      <c r="Q36" s="11" t="n">
        <v>2</v>
      </c>
      <c r="R36" s="12">
        <f>ROUND(SUMPRODUCT(K36:Q36,Scoring_Weights!$E$5:$K$5)/Scoring_Weights!$B$12*20,0)</f>
        <v/>
      </c>
      <c r="S36" s="13">
        <f>IF(R36&gt;=Scoring_Weights!$B$15,"Tier 1",IF(R36&gt;=Scoring_Weights!$B$16,"Tier 2","Tier 3"))</f>
        <v/>
      </c>
      <c r="T36" s="6" t="inlineStr">
        <is>
          <t>IVP-level</t>
        </is>
      </c>
      <c r="U36" s="6" t="inlineStr">
        <is>
          <t>Cold</t>
        </is>
      </c>
      <c r="V36" s="6" t="inlineStr"/>
      <c r="W36" s="6" t="inlineStr">
        <is>
          <t>Bloomberg Law Aug 2024</t>
        </is>
      </c>
    </row>
    <row r="37">
      <c r="A37" s="6" t="inlineStr">
        <is>
          <t>Sixth Street</t>
        </is>
      </c>
      <c r="B37" s="6" t="inlineStr">
        <is>
          <t>Growth / ABF / infra credit</t>
        </is>
      </c>
      <c r="C37" s="6" t="inlineStr">
        <is>
          <t>London</t>
        </is>
      </c>
      <c r="D37" s="6" t="inlineStr">
        <is>
          <t>European DL III €3.75b; on Cascade map</t>
        </is>
      </c>
      <c r="E37" s="6" t="inlineStr">
        <is>
          <t>€3.75b</t>
        </is>
      </c>
      <c r="F37" s="6" t="inlineStr">
        <is>
          <t>€30m to €300m</t>
        </is>
      </c>
      <c r="G37" s="6" t="inlineStr">
        <is>
          <t>Growth, ABF, infra</t>
        </is>
      </c>
      <c r="H37" s="6" t="inlineStr">
        <is>
          <t>Pan-European</t>
        </is>
      </c>
      <c r="I37" s="6" t="inlineStr">
        <is>
          <t>Growth / infra</t>
        </is>
      </c>
      <c r="J37" s="6" t="inlineStr">
        <is>
          <t>Unknown</t>
        </is>
      </c>
      <c r="K37" s="11" t="n">
        <v>2</v>
      </c>
      <c r="L37" s="11" t="n">
        <v>1</v>
      </c>
      <c r="M37" s="11" t="n">
        <v>2</v>
      </c>
      <c r="N37" s="11" t="n">
        <v>2</v>
      </c>
      <c r="O37" s="11" t="n">
        <v>4</v>
      </c>
      <c r="P37" s="11" t="n">
        <v>1</v>
      </c>
      <c r="Q37" s="11" t="n">
        <v>2</v>
      </c>
      <c r="R37" s="12">
        <f>ROUND(SUMPRODUCT(K37:Q37,Scoring_Weights!$E$5:$K$5)/Scoring_Weights!$B$12*20,0)</f>
        <v/>
      </c>
      <c r="S37" s="13">
        <f>IF(R37&gt;=Scoring_Weights!$B$15,"Tier 1",IF(R37&gt;=Scoring_Weights!$B$16,"Tier 2","Tier 3"))</f>
        <v/>
      </c>
      <c r="T37" s="6" t="inlineStr">
        <is>
          <t>IVP-level</t>
        </is>
      </c>
      <c r="U37" s="6" t="inlineStr">
        <is>
          <t>Cold</t>
        </is>
      </c>
      <c r="V37" s="6" t="inlineStr"/>
      <c r="W37" s="6" t="inlineStr">
        <is>
          <t>sixthstreet.com</t>
        </is>
      </c>
    </row>
    <row r="38">
      <c r="A38" s="6" t="inlineStr">
        <is>
          <t>Infranity (Generali)</t>
        </is>
      </c>
      <c r="B38" s="6" t="inlineStr">
        <is>
          <t>Infrastructure debt</t>
        </is>
      </c>
      <c r="C38" s="6" t="inlineStr">
        <is>
          <t>Paris</t>
        </is>
      </c>
      <c r="D38" s="6" t="inlineStr">
        <is>
          <t>Enhanced Return Debt Fund €2b (target €3b) + Senior €1.2b (Dec 2025); sub-IG senior, 50% climate</t>
        </is>
      </c>
      <c r="E38" s="6" t="inlineStr">
        <is>
          <t>€3.2b</t>
        </is>
      </c>
      <c r="F38" s="6" t="inlineStr">
        <is>
          <t>€20m to €100m</t>
        </is>
      </c>
      <c r="G38" s="6" t="inlineStr">
        <is>
          <t>Senior / sub-IG infra debt</t>
        </is>
      </c>
      <c r="H38" s="6" t="inlineStr">
        <is>
          <t>Pan-European incl. Southern Europe</t>
        </is>
      </c>
      <c r="I38" s="6" t="inlineStr">
        <is>
          <t>Energy transition; no pyrolysis deal found</t>
        </is>
      </c>
      <c r="J38" s="6" t="inlineStr">
        <is>
          <t>Excluded</t>
        </is>
      </c>
      <c r="K38" s="11" t="n">
        <v>3</v>
      </c>
      <c r="L38" s="11" t="n">
        <v>0</v>
      </c>
      <c r="M38" s="11" t="n">
        <v>3</v>
      </c>
      <c r="N38" s="11" t="n">
        <v>3</v>
      </c>
      <c r="O38" s="11" t="n">
        <v>3</v>
      </c>
      <c r="P38" s="11" t="n">
        <v>1</v>
      </c>
      <c r="Q38" s="11" t="n">
        <v>2</v>
      </c>
      <c r="R38" s="12">
        <f>ROUND(SUMPRODUCT(K38:Q38,Scoring_Weights!$E$5:$K$5)/Scoring_Weights!$B$12*20,0)</f>
        <v/>
      </c>
      <c r="S38" s="13">
        <f>IF(R38&gt;=Scoring_Weights!$B$15,"Tier 1",IF(R38&gt;=Scoring_Weights!$B$16,"Tier 2","Tier 3"))</f>
        <v/>
      </c>
      <c r="T38" s="6" t="inlineStr">
        <is>
          <t>Enhanced Return sleeve at FID with EPC wrap in place</t>
        </is>
      </c>
      <c r="U38" s="6" t="inlineStr">
        <is>
          <t>Cold - LinkedIn first</t>
        </is>
      </c>
      <c r="V38" s="6" t="inlineStr"/>
      <c r="W38" s="6" t="inlineStr">
        <is>
          <t>ACI 18-12-2025</t>
        </is>
      </c>
    </row>
    <row r="39">
      <c r="A39" s="6" t="inlineStr">
        <is>
          <t>Rivage Investment</t>
        </is>
      </c>
      <c r="B39" s="6" t="inlineStr">
        <is>
          <t>Infrastructure debt / climate debt</t>
        </is>
      </c>
      <c r="C39" s="6" t="inlineStr">
        <is>
          <t>Paris</t>
        </is>
      </c>
      <c r="D39" s="6" t="inlineStr">
        <is>
          <t>REDI High Yield 3 target €700m; European Climate Debt Solutions (EIF InvestEU)</t>
        </is>
      </c>
      <c r="E39" s="6" t="inlineStr">
        <is>
          <t>€700m</t>
        </is>
      </c>
      <c r="F39" s="6" t="inlineStr">
        <is>
          <t>€10m to €50m</t>
        </is>
      </c>
      <c r="G39" s="6" t="inlineStr">
        <is>
          <t>High-yield infra debt; climate-tech deployment debt</t>
        </is>
      </c>
      <c r="H39" s="6" t="inlineStr">
        <is>
          <t>Pan-European</t>
        </is>
      </c>
      <c r="I39" s="6" t="inlineStr">
        <is>
          <t>Climate-tech facility deployment - best mandate fit</t>
        </is>
      </c>
      <c r="J39" s="6" t="inlineStr">
        <is>
          <t>Excluded</t>
        </is>
      </c>
      <c r="K39" s="11" t="n">
        <v>4</v>
      </c>
      <c r="L39" s="11" t="n">
        <v>0</v>
      </c>
      <c r="M39" s="11" t="n">
        <v>4</v>
      </c>
      <c r="N39" s="11" t="n">
        <v>3</v>
      </c>
      <c r="O39" s="11" t="n">
        <v>3</v>
      </c>
      <c r="P39" s="11" t="n">
        <v>1</v>
      </c>
      <c r="Q39" s="11" t="n">
        <v>3</v>
      </c>
      <c r="R39" s="12">
        <f>ROUND(SUMPRODUCT(K39:Q39,Scoring_Weights!$E$5:$K$5)/Scoring_Weights!$B$12*20,0)</f>
        <v/>
      </c>
      <c r="S39" s="13">
        <f>IF(R39&gt;=Scoring_Weights!$B$15,"Tier 1",IF(R39&gt;=Scoring_Weights!$B$16,"Tier 2","Tier 3"))</f>
        <v/>
      </c>
      <c r="T39" s="6" t="inlineStr">
        <is>
          <t>Wave 1: ECDS for a €15m to €25m construction-plus tranche</t>
        </is>
      </c>
      <c r="U39" s="6" t="inlineStr">
        <is>
          <t>Cold - LinkedIn first</t>
        </is>
      </c>
      <c r="V39" s="6" t="inlineStr"/>
      <c r="W39" s="6" t="inlineStr">
        <is>
          <t>rivageinvestment.com; Infrastructure Investor</t>
        </is>
      </c>
    </row>
    <row r="40">
      <c r="A40" s="6" t="inlineStr">
        <is>
          <t>Eiffel Investment Group (Energy Transition / Impact Debt)</t>
        </is>
      </c>
      <c r="B40" s="6" t="inlineStr">
        <is>
          <t>Energy-transition infra debt</t>
        </is>
      </c>
      <c r="C40" s="6" t="inlineStr">
        <is>
          <t>Paris</t>
        </is>
      </c>
      <c r="D40" s="6" t="inlineStr">
        <is>
          <t>Energy Transition III €1.2b hard cap (Dec 2025); short-term bridge debt; EIF equity-bridge</t>
        </is>
      </c>
      <c r="E40" s="6" t="inlineStr">
        <is>
          <t>€1.2b</t>
        </is>
      </c>
      <c r="F40" s="6" t="inlineStr">
        <is>
          <t>€5m to €50m</t>
        </is>
      </c>
      <c r="G40" s="6" t="inlineStr">
        <is>
          <t>Bridge debt, senior infra, impact debt</t>
        </is>
      </c>
      <c r="H40" s="6" t="inlineStr">
        <is>
          <t>Pan-European; 30 low-carbon-molecule deals</t>
        </is>
      </c>
      <c r="I40" s="6" t="inlineStr">
        <is>
          <t>Bridge against grants / receivables</t>
        </is>
      </c>
      <c r="J40" s="6" t="inlineStr">
        <is>
          <t>Excluded</t>
        </is>
      </c>
      <c r="K40" s="11" t="n">
        <v>4</v>
      </c>
      <c r="L40" s="11" t="n">
        <v>0</v>
      </c>
      <c r="M40" s="11" t="n">
        <v>4</v>
      </c>
      <c r="N40" s="11" t="n">
        <v>3</v>
      </c>
      <c r="O40" s="11" t="n">
        <v>3</v>
      </c>
      <c r="P40" s="11" t="n">
        <v>1</v>
      </c>
      <c r="Q40" s="11" t="n">
        <v>3</v>
      </c>
      <c r="R40" s="12">
        <f>ROUND(SUMPRODUCT(K40:Q40,Scoring_Weights!$E$5:$K$5)/Scoring_Weights!$B$12*20,0)</f>
        <v/>
      </c>
      <c r="S40" s="13">
        <f>IF(R40&gt;=Scoring_Weights!$B$15,"Tier 1",IF(R40&gt;=Scoring_Weights!$B$16,"Tier 2","Tier 3"))</f>
        <v/>
      </c>
      <c r="T40" s="6" t="inlineStr">
        <is>
          <t>Wave 1: bridge facility against the €29.4m Innovation Fund receivable</t>
        </is>
      </c>
      <c r="U40" s="6" t="inlineStr">
        <is>
          <t>Cold - LinkedIn first</t>
        </is>
      </c>
      <c r="V40" s="6" t="inlineStr"/>
      <c r="W40" s="6" t="inlineStr">
        <is>
          <t>IPE Real Assets; EIF press</t>
        </is>
      </c>
    </row>
    <row r="41">
      <c r="A41" s="6" t="inlineStr">
        <is>
          <t>Polestar Capital</t>
        </is>
      </c>
      <c r="B41" s="6" t="inlineStr">
        <is>
          <t>Impact senior debt (NL)</t>
        </is>
      </c>
      <c r="C41" s="6" t="inlineStr">
        <is>
          <t>Amsterdam</t>
        </is>
      </c>
      <c r="D41" s="6" t="inlineStr">
        <is>
          <t>Senior debt to Xycle (chemical recycling, Rotterdam)</t>
        </is>
      </c>
      <c r="E41" s="6" t="inlineStr">
        <is>
          <t>n/a</t>
        </is>
      </c>
      <c r="F41" s="6" t="inlineStr">
        <is>
          <t>€5m to €40m</t>
        </is>
      </c>
      <c r="G41" s="6" t="inlineStr">
        <is>
          <t>Senior impact loans</t>
        </is>
      </c>
      <c r="H41" s="6" t="inlineStr">
        <is>
          <t>Netherlands focus</t>
        </is>
      </c>
      <c r="I41" s="6" t="inlineStr">
        <is>
          <t>Only European fund with a chemical-recycling senior loan</t>
        </is>
      </c>
      <c r="J41" s="6" t="inlineStr">
        <is>
          <t>Excluded</t>
        </is>
      </c>
      <c r="K41" s="11" t="n">
        <v>4</v>
      </c>
      <c r="L41" s="11" t="n">
        <v>0</v>
      </c>
      <c r="M41" s="11" t="n">
        <v>4</v>
      </c>
      <c r="N41" s="11" t="n">
        <v>1</v>
      </c>
      <c r="O41" s="11" t="n">
        <v>4</v>
      </c>
      <c r="P41" s="11" t="n">
        <v>1</v>
      </c>
      <c r="Q41" s="11" t="n">
        <v>3</v>
      </c>
      <c r="R41" s="12">
        <f>ROUND(SUMPRODUCT(K41:Q41,Scoring_Weights!$E$5:$K$5)/Scoring_Weights!$B$12*20,0)</f>
        <v/>
      </c>
      <c r="S41" s="13">
        <f>IF(R41&gt;=Scoring_Weights!$B$15,"Tier 1",IF(R41&gt;=Scoring_Weights!$B$16,"Tier 2","Tier 3"))</f>
        <v/>
      </c>
      <c r="T41" s="6" t="inlineStr">
        <is>
          <t>Wave 1: precedent lender; ask for terms benchmark and appetite outside NL</t>
        </is>
      </c>
      <c r="U41" s="6" t="inlineStr">
        <is>
          <t>Cold - LinkedIn first</t>
        </is>
      </c>
      <c r="V41" s="6" t="inlineStr"/>
      <c r="W41" s="6" t="inlineStr">
        <is>
          <t>Port of Rotterdam / Recycling Today</t>
        </is>
      </c>
    </row>
    <row r="42">
      <c r="A42" s="6" t="inlineStr">
        <is>
          <t>Blue Earth Capital</t>
        </is>
      </c>
      <c r="B42" s="6" t="inlineStr">
        <is>
          <t>Impact credit / equity</t>
        </is>
      </c>
      <c r="C42" s="6" t="inlineStr">
        <is>
          <t>Zug</t>
        </is>
      </c>
      <c r="D42" s="6" t="inlineStr">
        <is>
          <t>Climate strategy US$378m ('missing middle'); private debt team</t>
        </is>
      </c>
      <c r="E42" s="6" t="inlineStr">
        <is>
          <t>US$378m</t>
        </is>
      </c>
      <c r="F42" s="6" t="inlineStr">
        <is>
          <t>€5m to €25m</t>
        </is>
      </c>
      <c r="G42" s="6" t="inlineStr">
        <is>
          <t>Impact debt and equity</t>
        </is>
      </c>
      <c r="H42" s="6" t="inlineStr">
        <is>
          <t>Global incl. Europe</t>
        </is>
      </c>
      <c r="I42" s="6" t="inlineStr">
        <is>
          <t>Climate; FOAK tolerance</t>
        </is>
      </c>
      <c r="J42" s="6" t="inlineStr">
        <is>
          <t>Excluded</t>
        </is>
      </c>
      <c r="K42" s="11" t="n">
        <v>3</v>
      </c>
      <c r="L42" s="11" t="n">
        <v>0</v>
      </c>
      <c r="M42" s="11" t="n">
        <v>4</v>
      </c>
      <c r="N42" s="11" t="n">
        <v>2</v>
      </c>
      <c r="O42" s="11" t="n">
        <v>3</v>
      </c>
      <c r="P42" s="11" t="n">
        <v>1</v>
      </c>
      <c r="Q42" s="11" t="n">
        <v>3</v>
      </c>
      <c r="R42" s="12">
        <f>ROUND(SUMPRODUCT(K42:Q42,Scoring_Weights!$E$5:$K$5)/Scoring_Weights!$B$12*20,0)</f>
        <v/>
      </c>
      <c r="S42" s="13">
        <f>IF(R42&gt;=Scoring_Weights!$B$15,"Tier 1",IF(R42&gt;=Scoring_Weights!$B$16,"Tier 2","Tier 3"))</f>
        <v/>
      </c>
      <c r="T42" s="6" t="inlineStr">
        <is>
          <t>Wave 2</t>
        </is>
      </c>
      <c r="U42" s="6" t="inlineStr">
        <is>
          <t>Cold</t>
        </is>
      </c>
      <c r="V42" s="6" t="inlineStr"/>
      <c r="W42" s="6" t="inlineStr">
        <is>
          <t>blueearth.capital</t>
        </is>
      </c>
    </row>
    <row r="43">
      <c r="A43" s="6" t="inlineStr">
        <is>
          <t>Triodos Investment Management (Energy Transition)</t>
        </is>
      </c>
      <c r="B43" s="6" t="inlineStr">
        <is>
          <t>Impact debt / equity</t>
        </is>
      </c>
      <c r="C43" s="6" t="inlineStr">
        <is>
          <t>Zeist</t>
        </is>
      </c>
      <c r="D43" s="6" t="inlineStr">
        <is>
          <t>Energy Transition Europe</t>
        </is>
      </c>
      <c r="E43" s="6" t="inlineStr">
        <is>
          <t>n/a</t>
        </is>
      </c>
      <c r="F43" s="6" t="inlineStr">
        <is>
          <t>€5m to €25m</t>
        </is>
      </c>
      <c r="G43" s="6" t="inlineStr">
        <is>
          <t>Senior / mezz</t>
        </is>
      </c>
      <c r="H43" s="6" t="inlineStr">
        <is>
          <t>Europe</t>
        </is>
      </c>
      <c r="I43" s="6" t="inlineStr">
        <is>
          <t>Renewables mostly</t>
        </is>
      </c>
      <c r="J43" s="6" t="inlineStr">
        <is>
          <t>Excluded</t>
        </is>
      </c>
      <c r="K43" s="11" t="n">
        <v>2</v>
      </c>
      <c r="L43" s="11" t="n">
        <v>0</v>
      </c>
      <c r="M43" s="11" t="n">
        <v>4</v>
      </c>
      <c r="N43" s="11" t="n">
        <v>2</v>
      </c>
      <c r="O43" s="11" t="n">
        <v>2</v>
      </c>
      <c r="P43" s="11" t="n">
        <v>1</v>
      </c>
      <c r="Q43" s="11" t="n">
        <v>3</v>
      </c>
      <c r="R43" s="12">
        <f>ROUND(SUMPRODUCT(K43:Q43,Scoring_Weights!$E$5:$K$5)/Scoring_Weights!$B$12*20,0)</f>
        <v/>
      </c>
      <c r="S43" s="13">
        <f>IF(R43&gt;=Scoring_Weights!$B$15,"Tier 1",IF(R43&gt;=Scoring_Weights!$B$16,"Tier 2","Tier 3"))</f>
        <v/>
      </c>
      <c r="T43" s="6" t="inlineStr">
        <is>
          <t>Wave 2</t>
        </is>
      </c>
      <c r="U43" s="6" t="inlineStr">
        <is>
          <t>Cold</t>
        </is>
      </c>
      <c r="V43" s="6" t="inlineStr"/>
      <c r="W43" s="6" t="inlineStr">
        <is>
          <t>triodos-im.com [K]</t>
        </is>
      </c>
    </row>
    <row r="44">
      <c r="A44" s="6" t="inlineStr">
        <is>
          <t>SUSI Partners</t>
        </is>
      </c>
      <c r="B44" s="6" t="inlineStr">
        <is>
          <t>Energy transition credit / equity</t>
        </is>
      </c>
      <c r="C44" s="6" t="inlineStr">
        <is>
          <t>Zug</t>
        </is>
      </c>
      <c r="D44" s="6" t="inlineStr">
        <is>
          <t>Energy Transition Credit</t>
        </is>
      </c>
      <c r="E44" s="6" t="inlineStr">
        <is>
          <t>n/a</t>
        </is>
      </c>
      <c r="F44" s="6" t="inlineStr">
        <is>
          <t>€10m to €50m</t>
        </is>
      </c>
      <c r="G44" s="6" t="inlineStr">
        <is>
          <t>Mezz / senior</t>
        </is>
      </c>
      <c r="H44" s="6" t="inlineStr">
        <is>
          <t>Europe</t>
        </is>
      </c>
      <c r="I44" s="6" t="inlineStr">
        <is>
          <t>Energy efficiency, storage</t>
        </is>
      </c>
      <c r="J44" s="6" t="inlineStr">
        <is>
          <t>Excluded</t>
        </is>
      </c>
      <c r="K44" s="11" t="n">
        <v>2</v>
      </c>
      <c r="L44" s="11" t="n">
        <v>0</v>
      </c>
      <c r="M44" s="11" t="n">
        <v>4</v>
      </c>
      <c r="N44" s="11" t="n">
        <v>2</v>
      </c>
      <c r="O44" s="11" t="n">
        <v>3</v>
      </c>
      <c r="P44" s="11" t="n">
        <v>1</v>
      </c>
      <c r="Q44" s="11" t="n">
        <v>3</v>
      </c>
      <c r="R44" s="12">
        <f>ROUND(SUMPRODUCT(K44:Q44,Scoring_Weights!$E$5:$K$5)/Scoring_Weights!$B$12*20,0)</f>
        <v/>
      </c>
      <c r="S44" s="13">
        <f>IF(R44&gt;=Scoring_Weights!$B$15,"Tier 1",IF(R44&gt;=Scoring_Weights!$B$16,"Tier 2","Tier 3"))</f>
        <v/>
      </c>
      <c r="T44" s="6" t="inlineStr">
        <is>
          <t>Wave 2</t>
        </is>
      </c>
      <c r="U44" s="6" t="inlineStr">
        <is>
          <t>Cold</t>
        </is>
      </c>
      <c r="V44" s="6" t="inlineStr"/>
      <c r="W44" s="6" t="inlineStr">
        <is>
          <t>susi-partners.com [K]</t>
        </is>
      </c>
    </row>
    <row r="45">
      <c r="A45" s="6" t="inlineStr">
        <is>
          <t>Tiger Infrastructure Partners</t>
        </is>
      </c>
      <c r="B45" s="6" t="inlineStr">
        <is>
          <t>Growth infrastructure equity</t>
        </is>
      </c>
      <c r="C45" s="6" t="inlineStr">
        <is>
          <t>New York / London</t>
        </is>
      </c>
      <c r="D45" s="6" t="inlineStr">
        <is>
          <t>Bolder Industries (Antwerp pyrolysis) growth investment Feb 2025; US$25m to US$100m tickets</t>
        </is>
      </c>
      <c r="E45" s="6" t="inlineStr">
        <is>
          <t>n/a</t>
        </is>
      </c>
      <c r="F45" s="6" t="inlineStr">
        <is>
          <t>US$25m to US$100m</t>
        </is>
      </c>
      <c r="G45" s="6" t="inlineStr">
        <is>
          <t>Growth equity</t>
        </is>
      </c>
      <c r="H45" s="6" t="inlineStr">
        <is>
          <t>Europe (Antwerp)</t>
        </is>
      </c>
      <c r="I45" s="6" t="inlineStr">
        <is>
          <t>Direct pyrolysis precedent</t>
        </is>
      </c>
      <c r="J45" s="6" t="inlineStr">
        <is>
          <t>n/a</t>
        </is>
      </c>
      <c r="K45" s="11" t="n">
        <v>4</v>
      </c>
      <c r="L45" s="11" t="n">
        <v>0</v>
      </c>
      <c r="M45" s="11" t="n">
        <v>3</v>
      </c>
      <c r="N45" s="11" t="n">
        <v>2</v>
      </c>
      <c r="O45" s="11" t="n">
        <v>5</v>
      </c>
      <c r="P45" s="11" t="n">
        <v>1</v>
      </c>
      <c r="Q45" s="11" t="n">
        <v>3</v>
      </c>
      <c r="R45" s="12">
        <f>ROUND(SUMPRODUCT(K45:Q45,Scoring_Weights!$E$5:$K$5)/Scoring_Weights!$B$12*20,0)</f>
        <v/>
      </c>
      <c r="S45" s="13">
        <f>IF(R45&gt;=Scoring_Weights!$B$15,"Tier 1",IF(R45&gt;=Scoring_Weights!$B$16,"Tier 2","Tier 3"))</f>
        <v/>
      </c>
      <c r="T45" s="6" t="inlineStr">
        <is>
          <t>Wave 1: IVP anchor conversation; they have underwritten Pyrum-comparable risk</t>
        </is>
      </c>
      <c r="U45" s="6" t="inlineStr">
        <is>
          <t>Cold - LinkedIn first</t>
        </is>
      </c>
      <c r="V45" s="6" t="inlineStr"/>
      <c r="W45" s="6" t="inlineStr">
        <is>
          <t>PR Newswire Feb 2025</t>
        </is>
      </c>
    </row>
    <row r="46">
      <c r="A46" s="6" t="inlineStr">
        <is>
          <t>Antin Infrastructure Partners</t>
        </is>
      </c>
      <c r="B46" s="6" t="inlineStr">
        <is>
          <t>Infrastructure equity</t>
        </is>
      </c>
      <c r="C46" s="6" t="inlineStr">
        <is>
          <t>Paris</t>
        </is>
      </c>
      <c r="D46" s="6" t="inlineStr">
        <is>
          <t>Infiniteria (Enviro / Michelin) tyre-pyrolysis JV - now in dispute with Enviro</t>
        </is>
      </c>
      <c r="E46" s="6" t="inlineStr">
        <is>
          <t>n/a</t>
        </is>
      </c>
      <c r="F46" s="6" t="inlineStr">
        <is>
          <t>€100m+</t>
        </is>
      </c>
      <c r="G46" s="6" t="inlineStr">
        <is>
          <t>Equity</t>
        </is>
      </c>
      <c r="H46" s="6" t="inlineStr">
        <is>
          <t>Europe</t>
        </is>
      </c>
      <c r="I46" s="6" t="inlineStr">
        <is>
          <t>Direct pyrolysis precedent (troubled)</t>
        </is>
      </c>
      <c r="J46" s="6" t="inlineStr">
        <is>
          <t>n/a</t>
        </is>
      </c>
      <c r="K46" s="11" t="n">
        <v>3</v>
      </c>
      <c r="L46" s="11" t="n">
        <v>0</v>
      </c>
      <c r="M46" s="11" t="n">
        <v>1</v>
      </c>
      <c r="N46" s="11" t="n">
        <v>2</v>
      </c>
      <c r="O46" s="11" t="n">
        <v>4</v>
      </c>
      <c r="P46" s="11" t="n">
        <v>3</v>
      </c>
      <c r="Q46" s="11" t="n">
        <v>1</v>
      </c>
      <c r="R46" s="12">
        <f>ROUND(SUMPRODUCT(K46:Q46,Scoring_Weights!$E$5:$K$5)/Scoring_Weights!$B$12*20,0)</f>
        <v/>
      </c>
      <c r="S46" s="13">
        <f>IF(R46&gt;=Scoring_Weights!$B$15,"Tier 1",IF(R46&gt;=Scoring_Weights!$B$16,"Tier 2","Tier 3"))</f>
        <v/>
      </c>
      <c r="T46" s="6" t="inlineStr">
        <is>
          <t>Later-stage buyer; 'Secure EoI' already in tracker</t>
        </is>
      </c>
      <c r="U46" s="6" t="inlineStr">
        <is>
          <t>Warm - in tracker (Argus)</t>
        </is>
      </c>
      <c r="V46" s="6" t="inlineStr">
        <is>
          <t>Argus</t>
        </is>
      </c>
      <c r="W46" s="6" t="inlineStr">
        <is>
          <t>antin-ip.com; Enviro releases 2026</t>
        </is>
      </c>
    </row>
    <row r="47">
      <c r="A47" s="6" t="inlineStr">
        <is>
          <t>Novo Holdings / A.P. Moller Holding</t>
        </is>
      </c>
      <c r="B47" s="6" t="inlineStr">
        <is>
          <t>Strategic / evergreen investors</t>
        </is>
      </c>
      <c r="C47" s="6" t="inlineStr">
        <is>
          <t>Copenhagen</t>
        </is>
      </c>
      <c r="D47" s="6" t="inlineStr">
        <is>
          <t>€75m equity into Circtec (Delfzijl tyre pyrolysis)</t>
        </is>
      </c>
      <c r="E47" s="6" t="inlineStr">
        <is>
          <t>n/a</t>
        </is>
      </c>
      <c r="F47" s="6" t="inlineStr">
        <is>
          <t>€25m+</t>
        </is>
      </c>
      <c r="G47" s="6" t="inlineStr">
        <is>
          <t>Equity</t>
        </is>
      </c>
      <c r="H47" s="6" t="inlineStr">
        <is>
          <t>Europe</t>
        </is>
      </c>
      <c r="I47" s="6" t="inlineStr">
        <is>
          <t>Direct pyrolysis precedent</t>
        </is>
      </c>
      <c r="J47" s="6" t="inlineStr">
        <is>
          <t>n/a</t>
        </is>
      </c>
      <c r="K47" s="11" t="n">
        <v>3</v>
      </c>
      <c r="L47" s="11" t="n">
        <v>0</v>
      </c>
      <c r="M47" s="11" t="n">
        <v>2</v>
      </c>
      <c r="N47" s="11" t="n">
        <v>1</v>
      </c>
      <c r="O47" s="11" t="n">
        <v>4</v>
      </c>
      <c r="P47" s="11" t="n">
        <v>1</v>
      </c>
      <c r="Q47" s="11" t="n">
        <v>1</v>
      </c>
      <c r="R47" s="12">
        <f>ROUND(SUMPRODUCT(K47:Q47,Scoring_Weights!$E$5:$K$5)/Scoring_Weights!$B$12*20,0)</f>
        <v/>
      </c>
      <c r="S47" s="13">
        <f>IF(R47&gt;=Scoring_Weights!$B$15,"Tier 1",IF(R47&gt;=Scoring_Weights!$B$16,"Tier 2","Tier 3"))</f>
        <v/>
      </c>
      <c r="T47" s="6" t="inlineStr">
        <is>
          <t>IVP-level; Circtec is a competitor reference</t>
        </is>
      </c>
      <c r="U47" s="6" t="inlineStr">
        <is>
          <t>Cold</t>
        </is>
      </c>
      <c r="V47" s="6" t="inlineStr"/>
      <c r="W47" s="6" t="inlineStr">
        <is>
          <t>apmoller.com May 2024</t>
        </is>
      </c>
    </row>
    <row r="48">
      <c r="A48" s="6" t="inlineStr">
        <is>
          <t>Invest-NL</t>
        </is>
      </c>
      <c r="B48" s="6" t="inlineStr">
        <is>
          <t>Dutch promotional investor</t>
        </is>
      </c>
      <c r="C48" s="6" t="inlineStr">
        <is>
          <t>Amsterdam</t>
        </is>
      </c>
      <c r="D48" s="6" t="inlineStr">
        <is>
          <t>Xycle, Pryme (chemical recycling)</t>
        </is>
      </c>
      <c r="E48" s="6" t="inlineStr">
        <is>
          <t>n/a</t>
        </is>
      </c>
      <c r="F48" s="6" t="inlineStr">
        <is>
          <t>€5m to €30m</t>
        </is>
      </c>
      <c r="G48" s="6" t="inlineStr">
        <is>
          <t>Equity / debt</t>
        </is>
      </c>
      <c r="H48" s="6" t="inlineStr">
        <is>
          <t>Netherlands only</t>
        </is>
      </c>
      <c r="I48" s="6" t="inlineStr">
        <is>
          <t>Chemical recycling precedent</t>
        </is>
      </c>
      <c r="J48" s="6" t="inlineStr">
        <is>
          <t>n/a</t>
        </is>
      </c>
      <c r="K48" s="11" t="n">
        <v>1</v>
      </c>
      <c r="L48" s="11" t="n">
        <v>0</v>
      </c>
      <c r="M48" s="11" t="n">
        <v>3</v>
      </c>
      <c r="N48" s="11" t="n">
        <v>0</v>
      </c>
      <c r="O48" s="11" t="n">
        <v>4</v>
      </c>
      <c r="P48" s="11" t="n">
        <v>1</v>
      </c>
      <c r="Q48" s="11" t="n">
        <v>2</v>
      </c>
      <c r="R48" s="12">
        <f>ROUND(SUMPRODUCT(K48:Q48,Scoring_Weights!$E$5:$K$5)/Scoring_Weights!$B$12*20,0)</f>
        <v/>
      </c>
      <c r="S48" s="13">
        <f>IF(R48&gt;=Scoring_Weights!$B$15,"Tier 1",IF(R48&gt;=Scoring_Weights!$B$16,"Tier 2","Tier 3"))</f>
        <v/>
      </c>
      <c r="T48" s="6" t="inlineStr">
        <is>
          <t>Not eligible (NL mandate); reference only</t>
        </is>
      </c>
      <c r="U48" s="6" t="inlineStr">
        <is>
          <t>n/a</t>
        </is>
      </c>
      <c r="V48" s="6" t="inlineStr"/>
      <c r="W48" s="6" t="inlineStr">
        <is>
          <t>invest-nl.nl</t>
        </is>
      </c>
    </row>
    <row r="49">
      <c r="A49" s="6" t="inlineStr">
        <is>
          <t>Infinity Recycling (Circular Plastics Fund)</t>
        </is>
      </c>
      <c r="B49" s="6" t="inlineStr">
        <is>
          <t>Circular-economy VC / growth</t>
        </is>
      </c>
      <c r="C49" s="6" t="inlineStr">
        <is>
          <t>Rotterdam</t>
        </is>
      </c>
      <c r="D49" s="6" t="inlineStr">
        <is>
          <t>CPF €175m (EIF €50m); Alterra, Itero, Pryme</t>
        </is>
      </c>
      <c r="E49" s="6" t="inlineStr">
        <is>
          <t>€175m</t>
        </is>
      </c>
      <c r="F49" s="6" t="inlineStr">
        <is>
          <t>€5m to €15m</t>
        </is>
      </c>
      <c r="G49" s="6" t="inlineStr">
        <is>
          <t>Equity</t>
        </is>
      </c>
      <c r="H49" s="6" t="inlineStr">
        <is>
          <t>Europe</t>
        </is>
      </c>
      <c r="I49" s="6" t="inlineStr">
        <is>
          <t>Plastics chemical recycling</t>
        </is>
      </c>
      <c r="J49" s="6" t="inlineStr">
        <is>
          <t>n/a</t>
        </is>
      </c>
      <c r="K49" s="11" t="n">
        <v>2</v>
      </c>
      <c r="L49" s="11" t="n">
        <v>0</v>
      </c>
      <c r="M49" s="11" t="n">
        <v>4</v>
      </c>
      <c r="N49" s="11" t="n">
        <v>1</v>
      </c>
      <c r="O49" s="11" t="n">
        <v>4</v>
      </c>
      <c r="P49" s="11" t="n">
        <v>1</v>
      </c>
      <c r="Q49" s="11" t="n">
        <v>3</v>
      </c>
      <c r="R49" s="12">
        <f>ROUND(SUMPRODUCT(K49:Q49,Scoring_Weights!$E$5:$K$5)/Scoring_Weights!$B$12*20,0)</f>
        <v/>
      </c>
      <c r="S49" s="13">
        <f>IF(R49&gt;=Scoring_Weights!$B$15,"Tier 1",IF(R49&gt;=Scoring_Weights!$B$16,"Tier 2","Tier 3"))</f>
        <v/>
      </c>
      <c r="T49" s="6" t="inlineStr">
        <is>
          <t>Co-investor in IVP; plastics not tyres</t>
        </is>
      </c>
      <c r="U49" s="6" t="inlineStr">
        <is>
          <t>Cold</t>
        </is>
      </c>
      <c r="V49" s="6" t="inlineStr"/>
      <c r="W49" s="6" t="inlineStr">
        <is>
          <t>Packaging Europe</t>
        </is>
      </c>
    </row>
    <row r="50">
      <c r="A50" s="6" t="inlineStr">
        <is>
          <t>Emerald Technology Ventures</t>
        </is>
      </c>
      <c r="B50" s="6" t="inlineStr">
        <is>
          <t>Industrial innovation VC</t>
        </is>
      </c>
      <c r="C50" s="6" t="inlineStr">
        <is>
          <t>Zurich</t>
        </is>
      </c>
      <c r="D50" s="6" t="inlineStr">
        <is>
          <t>Emerald Industrial Innovation Fund; corporate LPs (BASF etc.)</t>
        </is>
      </c>
      <c r="E50" s="6" t="inlineStr">
        <is>
          <t>n/a</t>
        </is>
      </c>
      <c r="F50" s="6" t="inlineStr">
        <is>
          <t>€3m to €15m</t>
        </is>
      </c>
      <c r="G50" s="6" t="inlineStr">
        <is>
          <t>Equity</t>
        </is>
      </c>
      <c r="H50" s="6" t="inlineStr">
        <is>
          <t>Europe</t>
        </is>
      </c>
      <c r="I50" s="6" t="inlineStr">
        <is>
          <t>Industrial cleantech</t>
        </is>
      </c>
      <c r="J50" s="6" t="inlineStr">
        <is>
          <t>n/a</t>
        </is>
      </c>
      <c r="K50" s="11" t="n">
        <v>2</v>
      </c>
      <c r="L50" s="11" t="n">
        <v>0</v>
      </c>
      <c r="M50" s="11" t="n">
        <v>3</v>
      </c>
      <c r="N50" s="11" t="n">
        <v>1</v>
      </c>
      <c r="O50" s="11" t="n">
        <v>4</v>
      </c>
      <c r="P50" s="11" t="n">
        <v>1</v>
      </c>
      <c r="Q50" s="11" t="n">
        <v>3</v>
      </c>
      <c r="R50" s="12">
        <f>ROUND(SUMPRODUCT(K50:Q50,Scoring_Weights!$E$5:$K$5)/Scoring_Weights!$B$12*20,0)</f>
        <v/>
      </c>
      <c r="S50" s="13">
        <f>IF(R50&gt;=Scoring_Weights!$B$15,"Tier 1",IF(R50&gt;=Scoring_Weights!$B$16,"Tier 2","Tier 3"))</f>
        <v/>
      </c>
      <c r="T50" s="6" t="inlineStr">
        <is>
          <t>Co-investor at sponsor level</t>
        </is>
      </c>
      <c r="U50" s="6" t="inlineStr">
        <is>
          <t>Cold</t>
        </is>
      </c>
      <c r="V50" s="6" t="inlineStr"/>
      <c r="W50" s="6" t="inlineStr">
        <is>
          <t>emerald.vc [K]</t>
        </is>
      </c>
    </row>
    <row r="51">
      <c r="A51" s="6" t="inlineStr">
        <is>
          <t>Kreos Capital (BlackRock)</t>
        </is>
      </c>
      <c r="B51" s="6" t="inlineStr">
        <is>
          <t>Venture / growth debt</t>
        </is>
      </c>
      <c r="C51" s="6" t="inlineStr">
        <is>
          <t>London</t>
        </is>
      </c>
      <c r="D51" s="6" t="inlineStr">
        <is>
          <t>&gt;US$7b committed, 830+ deals; Aris Constantinides (General Partner) is Greek</t>
        </is>
      </c>
      <c r="E51" s="6" t="inlineStr">
        <is>
          <t>n/a</t>
        </is>
      </c>
      <c r="F51" s="6" t="inlineStr">
        <is>
          <t>€5m to €50m</t>
        </is>
      </c>
      <c r="G51" s="6" t="inlineStr">
        <is>
          <t>Growth debt with warrants</t>
        </is>
      </c>
      <c r="H51" s="6" t="inlineStr">
        <is>
          <t>Pan-European</t>
        </is>
      </c>
      <c r="I51" s="6" t="inlineStr">
        <is>
          <t>VC-backed revenue companies</t>
        </is>
      </c>
      <c r="J51" s="6" t="inlineStr">
        <is>
          <t>No exclusion located</t>
        </is>
      </c>
      <c r="K51" s="11" t="n">
        <v>2</v>
      </c>
      <c r="L51" s="11" t="n">
        <v>3</v>
      </c>
      <c r="M51" s="11" t="n">
        <v>5</v>
      </c>
      <c r="N51" s="11" t="n">
        <v>2</v>
      </c>
      <c r="O51" s="11" t="n">
        <v>3</v>
      </c>
      <c r="P51" s="11" t="n">
        <v>2</v>
      </c>
      <c r="Q51" s="11" t="n">
        <v>4</v>
      </c>
      <c r="R51" s="12">
        <f>ROUND(SUMPRODUCT(K51:Q51,Scoring_Weights!$E$5:$K$5)/Scoring_Weights!$B$12*20,0)</f>
        <v/>
      </c>
      <c r="S51" s="13">
        <f>IF(R51&gt;=Scoring_Weights!$B$15,"Tier 1",IF(R51&gt;=Scoring_Weights!$B$16,"Tier 2","Tier 3"))</f>
        <v/>
      </c>
      <c r="T51" s="6" t="inlineStr">
        <is>
          <t>Curity growth line at 12 months of audited sales; Greek partner as door-opener</t>
        </is>
      </c>
      <c r="U51" s="6" t="inlineStr">
        <is>
          <t>LinkedIn first (Constantinides)</t>
        </is>
      </c>
      <c r="V51" s="6" t="inlineStr">
        <is>
          <t>Greek diaspora angle</t>
        </is>
      </c>
      <c r="W51" s="6" t="inlineStr">
        <is>
          <t>tulacap.com; research briefing</t>
        </is>
      </c>
    </row>
    <row r="52">
      <c r="A52" s="6" t="inlineStr">
        <is>
          <t>Claret Capital Partners</t>
        </is>
      </c>
      <c r="B52" s="6" t="inlineStr">
        <is>
          <t>Growth debt</t>
        </is>
      </c>
      <c r="C52" s="6" t="inlineStr">
        <is>
          <t>Dublin / London</t>
        </is>
      </c>
      <c r="D52" s="6" t="inlineStr">
        <is>
          <t>Fund IV €575m</t>
        </is>
      </c>
      <c r="E52" s="6" t="inlineStr">
        <is>
          <t>€575m</t>
        </is>
      </c>
      <c r="F52" s="6" t="inlineStr">
        <is>
          <t>€3m to €30m</t>
        </is>
      </c>
      <c r="G52" s="6" t="inlineStr">
        <is>
          <t>Growth debt</t>
        </is>
      </c>
      <c r="H52" s="6" t="inlineStr">
        <is>
          <t>Pan-European</t>
        </is>
      </c>
      <c r="I52" s="6" t="inlineStr">
        <is>
          <t>VC-backed</t>
        </is>
      </c>
      <c r="J52" s="6" t="inlineStr">
        <is>
          <t>No exclusion located</t>
        </is>
      </c>
      <c r="K52" s="11" t="n">
        <v>1</v>
      </c>
      <c r="L52" s="11" t="n">
        <v>3</v>
      </c>
      <c r="M52" s="11" t="n">
        <v>5</v>
      </c>
      <c r="N52" s="11" t="n">
        <v>2</v>
      </c>
      <c r="O52" s="11" t="n">
        <v>3</v>
      </c>
      <c r="P52" s="11" t="n">
        <v>1</v>
      </c>
      <c r="Q52" s="11" t="n">
        <v>4</v>
      </c>
      <c r="R52" s="12">
        <f>ROUND(SUMPRODUCT(K52:Q52,Scoring_Weights!$E$5:$K$5)/Scoring_Weights!$B$12*20,0)</f>
        <v/>
      </c>
      <c r="S52" s="13">
        <f>IF(R52&gt;=Scoring_Weights!$B$15,"Tier 1",IF(R52&gt;=Scoring_Weights!$B$16,"Tier 2","Tier 3"))</f>
        <v/>
      </c>
      <c r="T52" s="6" t="inlineStr">
        <is>
          <t>Curity growth line 2027</t>
        </is>
      </c>
      <c r="U52" s="6" t="inlineStr">
        <is>
          <t>Cold</t>
        </is>
      </c>
      <c r="V52" s="6" t="inlineStr"/>
      <c r="W52" s="6" t="inlineStr">
        <is>
          <t>TNW</t>
        </is>
      </c>
    </row>
    <row r="53">
      <c r="A53" s="6" t="inlineStr">
        <is>
          <t>Atempo Growth</t>
        </is>
      </c>
      <c r="B53" s="6" t="inlineStr">
        <is>
          <t>Growth debt</t>
        </is>
      </c>
      <c r="C53" s="6" t="inlineStr">
        <is>
          <t>London / Madrid</t>
        </is>
      </c>
      <c r="D53" s="6" t="inlineStr">
        <is>
          <t>Fund II &gt;€455m; c.€850m AUM; Santander backing</t>
        </is>
      </c>
      <c r="E53" s="6" t="inlineStr">
        <is>
          <t>€455m</t>
        </is>
      </c>
      <c r="F53" s="6" t="inlineStr">
        <is>
          <t>€3m to €25m</t>
        </is>
      </c>
      <c r="G53" s="6" t="inlineStr">
        <is>
          <t>Growth debt</t>
        </is>
      </c>
      <c r="H53" s="6" t="inlineStr">
        <is>
          <t>Southern Europe presence (Madrid)</t>
        </is>
      </c>
      <c r="I53" s="6" t="inlineStr">
        <is>
          <t>VC-backed</t>
        </is>
      </c>
      <c r="J53" s="6" t="inlineStr">
        <is>
          <t>No exclusion located</t>
        </is>
      </c>
      <c r="K53" s="11" t="n">
        <v>1</v>
      </c>
      <c r="L53" s="11" t="n">
        <v>3</v>
      </c>
      <c r="M53" s="11" t="n">
        <v>5</v>
      </c>
      <c r="N53" s="11" t="n">
        <v>3</v>
      </c>
      <c r="O53" s="11" t="n">
        <v>3</v>
      </c>
      <c r="P53" s="11" t="n">
        <v>1</v>
      </c>
      <c r="Q53" s="11" t="n">
        <v>4</v>
      </c>
      <c r="R53" s="12">
        <f>ROUND(SUMPRODUCT(K53:Q53,Scoring_Weights!$E$5:$K$5)/Scoring_Weights!$B$12*20,0)</f>
        <v/>
      </c>
      <c r="S53" s="13">
        <f>IF(R53&gt;=Scoring_Weights!$B$15,"Tier 1",IF(R53&gt;=Scoring_Weights!$B$16,"Tier 2","Tier 3"))</f>
        <v/>
      </c>
      <c r="T53" s="6" t="inlineStr">
        <is>
          <t>Curity growth line 2027</t>
        </is>
      </c>
      <c r="U53" s="6" t="inlineStr">
        <is>
          <t>Cold</t>
        </is>
      </c>
      <c r="V53" s="6" t="inlineStr"/>
      <c r="W53" s="6" t="inlineStr">
        <is>
          <t>capitalranking.com</t>
        </is>
      </c>
    </row>
    <row r="54">
      <c r="A54" s="6" t="inlineStr">
        <is>
          <t>Chicago Atlantic (REFI / BDC)</t>
        </is>
      </c>
      <c r="B54" s="6" t="inlineStr">
        <is>
          <t>Specialist cannabis credit</t>
        </is>
      </c>
      <c r="C54" s="6" t="inlineStr">
        <is>
          <t>Chicago</t>
        </is>
      </c>
      <c r="D54" s="6" t="inlineStr">
        <is>
          <t>REFI US$453m, 26 borrowers, 15.8% YTM (30-06-2026); co-founder John Mazarakis is Greek-American</t>
        </is>
      </c>
      <c r="E54" s="6" t="inlineStr">
        <is>
          <t>US$453m</t>
        </is>
      </c>
      <c r="F54" s="6" t="inlineStr">
        <is>
          <t>US$5m to US$50m</t>
        </is>
      </c>
      <c r="G54" s="6" t="inlineStr">
        <is>
          <t>Senior secured cannabis loans</t>
        </is>
      </c>
      <c r="H54" s="6" t="inlineStr">
        <is>
          <t>US only to date</t>
        </is>
      </c>
      <c r="I54" s="6" t="inlineStr">
        <is>
          <t>n/a</t>
        </is>
      </c>
      <c r="J54" s="6" t="inlineStr">
        <is>
          <t>Core mandate</t>
        </is>
      </c>
      <c r="K54" s="11" t="n">
        <v>0</v>
      </c>
      <c r="L54" s="11" t="n">
        <v>4</v>
      </c>
      <c r="M54" s="11" t="n">
        <v>5</v>
      </c>
      <c r="N54" s="11" t="n">
        <v>1</v>
      </c>
      <c r="O54" s="11" t="n">
        <v>4</v>
      </c>
      <c r="P54" s="11" t="n">
        <v>1</v>
      </c>
      <c r="Q54" s="11" t="n">
        <v>3</v>
      </c>
      <c r="R54" s="12">
        <f>ROUND(SUMPRODUCT(K54:Q54,Scoring_Weights!$E$5:$K$5)/Scoring_Weights!$B$12*20,0)</f>
        <v/>
      </c>
      <c r="S54" s="13">
        <f>IF(R54&gt;=Scoring_Weights!$B$15,"Tier 1",IF(R54&gt;=Scoring_Weights!$B$16,"Tier 2","Tier 3"))</f>
        <v/>
      </c>
      <c r="T54" s="6" t="inlineStr">
        <is>
          <t>Wave 1 for CPEF: test European appetite; €3m to €10m at 13% to 16%</t>
        </is>
      </c>
      <c r="U54" s="6" t="inlineStr">
        <is>
          <t>LinkedIn first (Mazarakis)</t>
        </is>
      </c>
      <c r="V54" s="6" t="inlineStr">
        <is>
          <t>Greek diaspora angle</t>
        </is>
      </c>
      <c r="W54" s="6" t="inlineStr">
        <is>
          <t>REFI 10-Q via research briefing</t>
        </is>
      </c>
    </row>
    <row r="55">
      <c r="A55" s="6" t="inlineStr">
        <is>
          <t>Advanced Flower Capital (AFC Gamma)</t>
        </is>
      </c>
      <c r="B55" s="6" t="inlineStr">
        <is>
          <t>Specialist cannabis credit</t>
        </is>
      </c>
      <c r="C55" s="6" t="inlineStr">
        <is>
          <t>West Palm Beach</t>
        </is>
      </c>
      <c r="D55" s="6" t="inlineStr">
        <is>
          <t>US$290m, 17 loans, 13.2% yield, 35.7% non-accrual</t>
        </is>
      </c>
      <c r="E55" s="6" t="inlineStr">
        <is>
          <t>US$290m</t>
        </is>
      </c>
      <c r="F55" s="6" t="inlineStr">
        <is>
          <t>US$5m to US$40m</t>
        </is>
      </c>
      <c r="G55" s="6" t="inlineStr">
        <is>
          <t>Senior secured</t>
        </is>
      </c>
      <c r="H55" s="6" t="inlineStr">
        <is>
          <t>US only</t>
        </is>
      </c>
      <c r="I55" s="6" t="inlineStr">
        <is>
          <t>n/a</t>
        </is>
      </c>
      <c r="J55" s="6" t="inlineStr">
        <is>
          <t>Core mandate</t>
        </is>
      </c>
      <c r="K55" s="11" t="n">
        <v>0</v>
      </c>
      <c r="L55" s="11" t="n">
        <v>3</v>
      </c>
      <c r="M55" s="11" t="n">
        <v>5</v>
      </c>
      <c r="N55" s="11" t="n">
        <v>0</v>
      </c>
      <c r="O55" s="11" t="n">
        <v>3</v>
      </c>
      <c r="P55" s="11" t="n">
        <v>1</v>
      </c>
      <c r="Q55" s="11" t="n">
        <v>2</v>
      </c>
      <c r="R55" s="12">
        <f>ROUND(SUMPRODUCT(K55:Q55,Scoring_Weights!$E$5:$K$5)/Scoring_Weights!$B$12*20,0)</f>
        <v/>
      </c>
      <c r="S55" s="13">
        <f>IF(R55&gt;=Scoring_Weights!$B$15,"Tier 1",IF(R55&gt;=Scoring_Weights!$B$16,"Tier 2","Tier 3"))</f>
        <v/>
      </c>
      <c r="T55" s="6" t="inlineStr">
        <is>
          <t>Wave 2; distressed book limits appetite</t>
        </is>
      </c>
      <c r="U55" s="6" t="inlineStr">
        <is>
          <t>Cold</t>
        </is>
      </c>
      <c r="V55" s="6" t="inlineStr"/>
      <c r="W55" s="6" t="inlineStr">
        <is>
          <t>AFCG 10-Q via research briefing</t>
        </is>
      </c>
    </row>
    <row r="56">
      <c r="A56" s="6" t="inlineStr">
        <is>
          <t>Artemis Growth Partners</t>
        </is>
      </c>
      <c r="B56" s="6" t="inlineStr">
        <is>
          <t>Cannabis growth equity / hybrid</t>
        </is>
      </c>
      <c r="C56" s="6" t="inlineStr">
        <is>
          <t>London / New York</t>
        </is>
      </c>
      <c r="D56" s="6" t="inlineStr">
        <is>
          <t>Fund VII US$200m target, c.75% Europe; c.US$400m AUM; Bloomwell investor</t>
        </is>
      </c>
      <c r="E56" s="6" t="inlineStr">
        <is>
          <t>US$200m</t>
        </is>
      </c>
      <c r="F56" s="6" t="inlineStr">
        <is>
          <t>US$5m to US$25m</t>
        </is>
      </c>
      <c r="G56" s="6" t="inlineStr">
        <is>
          <t>Equity / hybrid</t>
        </is>
      </c>
      <c r="H56" s="6" t="inlineStr">
        <is>
          <t>Europe focus</t>
        </is>
      </c>
      <c r="I56" s="6" t="inlineStr">
        <is>
          <t>n/a</t>
        </is>
      </c>
      <c r="J56" s="6" t="inlineStr">
        <is>
          <t>Core mandate</t>
        </is>
      </c>
      <c r="K56" s="11" t="n">
        <v>0</v>
      </c>
      <c r="L56" s="11" t="n">
        <v>5</v>
      </c>
      <c r="M56" s="11" t="n">
        <v>5</v>
      </c>
      <c r="N56" s="11" t="n">
        <v>2</v>
      </c>
      <c r="O56" s="11" t="n">
        <v>4</v>
      </c>
      <c r="P56" s="11" t="n">
        <v>1</v>
      </c>
      <c r="Q56" s="11" t="n">
        <v>3</v>
      </c>
      <c r="R56" s="12">
        <f>ROUND(SUMPRODUCT(K56:Q56,Scoring_Weights!$E$5:$K$5)/Scoring_Weights!$B$12*20,0)</f>
        <v/>
      </c>
      <c r="S56" s="13">
        <f>IF(R56&gt;=Scoring_Weights!$B$15,"Tier 1",IF(R56&gt;=Scoring_Weights!$B$16,"Tier 2","Tier 3"))</f>
        <v/>
      </c>
      <c r="T56" s="6" t="inlineStr">
        <is>
          <t>Wave 1 for CPEF: only fund with stated European allocation</t>
        </is>
      </c>
      <c r="U56" s="6" t="inlineStr">
        <is>
          <t>LinkedIn first</t>
        </is>
      </c>
      <c r="V56" s="6" t="inlineStr"/>
      <c r="W56" s="6" t="inlineStr">
        <is>
          <t>research briefing (cannabis)</t>
        </is>
      </c>
    </row>
    <row r="57">
      <c r="A57" s="6" t="inlineStr">
        <is>
          <t>Casa Verde Capital</t>
        </is>
      </c>
      <c r="B57" s="6" t="inlineStr">
        <is>
          <t>Cannabis VC</t>
        </is>
      </c>
      <c r="C57" s="6" t="inlineStr">
        <is>
          <t>Los Angeles</t>
        </is>
      </c>
      <c r="D57" s="6" t="inlineStr">
        <is>
          <t>Cansativa Series B lead (€13m, 2022); Sanity Group investor</t>
        </is>
      </c>
      <c r="E57" s="6" t="inlineStr">
        <is>
          <t>n/a</t>
        </is>
      </c>
      <c r="F57" s="6" t="inlineStr">
        <is>
          <t>US$2m to US$15m</t>
        </is>
      </c>
      <c r="G57" s="6" t="inlineStr">
        <is>
          <t>Equity</t>
        </is>
      </c>
      <c r="H57" s="6" t="inlineStr">
        <is>
          <t>Europe via portfolio</t>
        </is>
      </c>
      <c r="I57" s="6" t="inlineStr">
        <is>
          <t>n/a</t>
        </is>
      </c>
      <c r="J57" s="6" t="inlineStr">
        <is>
          <t>Core mandate</t>
        </is>
      </c>
      <c r="K57" s="11" t="n">
        <v>0</v>
      </c>
      <c r="L57" s="11" t="n">
        <v>3</v>
      </c>
      <c r="M57" s="11" t="n">
        <v>5</v>
      </c>
      <c r="N57" s="11" t="n">
        <v>1</v>
      </c>
      <c r="O57" s="11" t="n">
        <v>4</v>
      </c>
      <c r="P57" s="11" t="n">
        <v>1</v>
      </c>
      <c r="Q57" s="11" t="n">
        <v>3</v>
      </c>
      <c r="R57" s="12">
        <f>ROUND(SUMPRODUCT(K57:Q57,Scoring_Weights!$E$5:$K$5)/Scoring_Weights!$B$12*20,0)</f>
        <v/>
      </c>
      <c r="S57" s="13">
        <f>IF(R57&gt;=Scoring_Weights!$B$15,"Tier 1",IF(R57&gt;=Scoring_Weights!$B$16,"Tier 2","Tier 3"))</f>
        <v/>
      </c>
      <c r="T57" s="6" t="inlineStr">
        <is>
          <t>Wave 2 co-investor</t>
        </is>
      </c>
      <c r="U57" s="6" t="inlineStr">
        <is>
          <t>Cold</t>
        </is>
      </c>
      <c r="V57" s="6" t="inlineStr"/>
      <c r="W57" s="6" t="inlineStr">
        <is>
          <t>research briefing (cannabis)</t>
        </is>
      </c>
    </row>
    <row r="58">
      <c r="A58" s="6" t="inlineStr">
        <is>
          <t>Curaleaf International</t>
        </is>
      </c>
      <c r="B58" s="6" t="inlineStr">
        <is>
          <t>Strategic acquirer (cannabis)</t>
        </is>
      </c>
      <c r="C58" s="6" t="inlineStr">
        <is>
          <t>London</t>
        </is>
      </c>
      <c r="D58" s="6" t="inlineStr">
        <is>
          <t>US$500m senior secured notes 11.5% (Feb 2026) fund European M&amp;A; bought Four 20 Pharma 100%; Clever Leaves Portugal assets; bid for Aurora</t>
        </is>
      </c>
      <c r="E58" s="6" t="inlineStr">
        <is>
          <t>n/a</t>
        </is>
      </c>
      <c r="F58" s="6" t="inlineStr">
        <is>
          <t>€2m to €50m</t>
        </is>
      </c>
      <c r="G58" s="6" t="inlineStr">
        <is>
          <t>Acquisition / offtake</t>
        </is>
      </c>
      <c r="H58" s="6" t="inlineStr">
        <is>
          <t>Germany, Portugal, UK</t>
        </is>
      </c>
      <c r="I58" s="6" t="inlineStr">
        <is>
          <t>n/a</t>
        </is>
      </c>
      <c r="J58" s="6" t="inlineStr">
        <is>
          <t>Core</t>
        </is>
      </c>
      <c r="K58" s="11" t="n">
        <v>0</v>
      </c>
      <c r="L58" s="11" t="n">
        <v>4</v>
      </c>
      <c r="M58" s="11" t="n">
        <v>5</v>
      </c>
      <c r="N58" s="11" t="n">
        <v>2</v>
      </c>
      <c r="O58" s="11" t="n">
        <v>5</v>
      </c>
      <c r="P58" s="11" t="n">
        <v>1</v>
      </c>
      <c r="Q58" s="11" t="n">
        <v>3</v>
      </c>
      <c r="R58" s="12">
        <f>ROUND(SUMPRODUCT(K58:Q58,Scoring_Weights!$E$5:$K$5)/Scoring_Weights!$B$12*20,0)</f>
        <v/>
      </c>
      <c r="S58" s="13">
        <f>IF(R58&gt;=Scoring_Weights!$B$15,"Tier 1",IF(R58&gt;=Scoring_Weights!$B$16,"Tier 2","Tier 3"))</f>
        <v/>
      </c>
      <c r="T58" s="6" t="inlineStr">
        <is>
          <t>Strategic buyer / offtaker for Curity; price discovery for the equity fallback</t>
        </is>
      </c>
      <c r="U58" s="6" t="inlineStr">
        <is>
          <t>LinkedIn / corporate development</t>
        </is>
      </c>
      <c r="V58" s="6" t="inlineStr"/>
      <c r="W58" s="6" t="inlineStr">
        <is>
          <t>research briefing (cannabis)</t>
        </is>
      </c>
    </row>
    <row r="59">
      <c r="A59" s="6" t="inlineStr">
        <is>
          <t>Organigram Global (owner of Sanity Group)</t>
        </is>
      </c>
      <c r="B59" s="6" t="inlineStr">
        <is>
          <t>Strategic acquirer (cannabis)</t>
        </is>
      </c>
      <c r="C59" s="6" t="inlineStr">
        <is>
          <t>Toronto / Berlin</t>
        </is>
      </c>
      <c r="D59" s="6" t="inlineStr">
        <is>
          <t>€11.5m convertible into Sanity at 10% (2024) then acquisition €107m + earnout (Apr 2026); ATB senior facilities</t>
        </is>
      </c>
      <c r="E59" s="6" t="inlineStr">
        <is>
          <t>n/a</t>
        </is>
      </c>
      <c r="F59" s="6" t="inlineStr">
        <is>
          <t>€5m to €100m</t>
        </is>
      </c>
      <c r="G59" s="6" t="inlineStr">
        <is>
          <t>Convertible / acquisition</t>
        </is>
      </c>
      <c r="H59" s="6" t="inlineStr">
        <is>
          <t>Germany</t>
        </is>
      </c>
      <c r="I59" s="6" t="inlineStr">
        <is>
          <t>n/a</t>
        </is>
      </c>
      <c r="J59" s="6" t="inlineStr">
        <is>
          <t>Core</t>
        </is>
      </c>
      <c r="K59" s="11" t="n">
        <v>0</v>
      </c>
      <c r="L59" s="11" t="n">
        <v>4</v>
      </c>
      <c r="M59" s="11" t="n">
        <v>4</v>
      </c>
      <c r="N59" s="11" t="n">
        <v>2</v>
      </c>
      <c r="O59" s="11" t="n">
        <v>5</v>
      </c>
      <c r="P59" s="11" t="n">
        <v>1</v>
      </c>
      <c r="Q59" s="11" t="n">
        <v>3</v>
      </c>
      <c r="R59" s="12">
        <f>ROUND(SUMPRODUCT(K59:Q59,Scoring_Weights!$E$5:$K$5)/Scoring_Weights!$B$12*20,0)</f>
        <v/>
      </c>
      <c r="S59" s="13">
        <f>IF(R59&gt;=Scoring_Weights!$B$15,"Tier 1",IF(R59&gt;=Scoring_Weights!$B$16,"Tier 2","Tier 3"))</f>
        <v/>
      </c>
      <c r="T59" s="6" t="inlineStr">
        <is>
          <t>Offtake and convertible precedent for Curity</t>
        </is>
      </c>
      <c r="U59" s="6" t="inlineStr">
        <is>
          <t>Cold</t>
        </is>
      </c>
      <c r="V59" s="6" t="inlineStr"/>
      <c r="W59" s="6" t="inlineStr">
        <is>
          <t>research briefing (cannabis)</t>
        </is>
      </c>
    </row>
    <row r="60">
      <c r="A60" s="6" t="inlineStr">
        <is>
          <t>Cantourage Group SE</t>
        </is>
      </c>
      <c r="B60" s="6" t="inlineStr">
        <is>
          <t>German importer / distributor (listed)</t>
        </is>
      </c>
      <c r="C60" s="6" t="inlineStr">
        <is>
          <t>Berlin</t>
        </is>
      </c>
      <c r="D60" s="6" t="inlineStr">
        <is>
          <t>FY26 guidance €85-95m revenue; net cash €9.3m</t>
        </is>
      </c>
      <c r="E60" s="6" t="inlineStr">
        <is>
          <t>n/a</t>
        </is>
      </c>
      <c r="F60" s="6" t="inlineStr">
        <is>
          <t>n/a</t>
        </is>
      </c>
      <c r="G60" s="6" t="inlineStr">
        <is>
          <t>Offtake / supply agreement</t>
        </is>
      </c>
      <c r="H60" s="6" t="inlineStr">
        <is>
          <t>Germany</t>
        </is>
      </c>
      <c r="I60" s="6" t="inlineStr">
        <is>
          <t>n/a</t>
        </is>
      </c>
      <c r="J60" s="6" t="inlineStr">
        <is>
          <t>Core</t>
        </is>
      </c>
      <c r="K60" s="11" t="n">
        <v>0</v>
      </c>
      <c r="L60" s="11" t="n">
        <v>4</v>
      </c>
      <c r="M60" s="11" t="n">
        <v>5</v>
      </c>
      <c r="N60" s="11" t="n">
        <v>2</v>
      </c>
      <c r="O60" s="11" t="n">
        <v>3</v>
      </c>
      <c r="P60" s="11" t="n">
        <v>1</v>
      </c>
      <c r="Q60" s="11" t="n">
        <v>4</v>
      </c>
      <c r="R60" s="12">
        <f>ROUND(SUMPRODUCT(K60:Q60,Scoring_Weights!$E$5:$K$5)/Scoring_Weights!$B$12*20,0)</f>
        <v/>
      </c>
      <c r="S60" s="13">
        <f>IF(R60&gt;=Scoring_Weights!$B$15,"Tier 1",IF(R60&gt;=Scoring_Weights!$B$16,"Tier 2","Tier 3"))</f>
        <v/>
      </c>
      <c r="T60" s="6" t="inlineStr">
        <is>
          <t>Offtake contract = the collateral a lender will value</t>
        </is>
      </c>
      <c r="U60" s="6" t="inlineStr">
        <is>
          <t>LinkedIn / commercial</t>
        </is>
      </c>
      <c r="V60" s="6" t="inlineStr"/>
      <c r="W60" s="6" t="inlineStr">
        <is>
          <t>research briefing (cannabis)</t>
        </is>
      </c>
    </row>
    <row r="61">
      <c r="A61" s="6" t="inlineStr">
        <is>
          <t>ELPEN Pharmaceutical (family office)</t>
        </is>
      </c>
      <c r="B61" s="6" t="inlineStr">
        <is>
          <t>Greek pharma family office</t>
        </is>
      </c>
      <c r="C61" s="6" t="inlineStr">
        <is>
          <t>Athens</t>
        </is>
      </c>
      <c r="D61" s="6" t="inlineStr">
        <is>
          <t>€500k CPEF + €500k IPL discussed Apr 2026</t>
        </is>
      </c>
      <c r="E61" s="6" t="inlineStr">
        <is>
          <t>n/a</t>
        </is>
      </c>
      <c r="F61" s="6" t="inlineStr">
        <is>
          <t>€0.5m to €5m</t>
        </is>
      </c>
      <c r="G61" s="6" t="inlineStr">
        <is>
          <t>Equity / convertible</t>
        </is>
      </c>
      <c r="H61" s="6" t="inlineStr">
        <is>
          <t>Greek</t>
        </is>
      </c>
      <c r="I61" s="6" t="inlineStr">
        <is>
          <t>n/a</t>
        </is>
      </c>
      <c r="J61" s="6" t="inlineStr">
        <is>
          <t>Tolerant</t>
        </is>
      </c>
      <c r="K61" s="11" t="n">
        <v>1</v>
      </c>
      <c r="L61" s="11" t="n">
        <v>4</v>
      </c>
      <c r="M61" s="11" t="n">
        <v>5</v>
      </c>
      <c r="N61" s="11" t="n">
        <v>5</v>
      </c>
      <c r="O61" s="11" t="n">
        <v>3</v>
      </c>
      <c r="P61" s="11" t="n">
        <v>4</v>
      </c>
      <c r="Q61" s="11" t="n">
        <v>3</v>
      </c>
      <c r="R61" s="12">
        <f>ROUND(SUMPRODUCT(K61:Q61,Scoring_Weights!$E$5:$K$5)/Scoring_Weights!$B$12*20,0)</f>
        <v/>
      </c>
      <c r="S61" s="13">
        <f>IF(R61&gt;=Scoring_Weights!$B$15,"Tier 1",IF(R61&gt;=Scoring_Weights!$B$16,"Tier 2","Tier 3"))</f>
        <v/>
      </c>
      <c r="T61" s="6" t="inlineStr">
        <is>
          <t>Natural strategic for Curity; re-open</t>
        </is>
      </c>
      <c r="U61" s="6" t="inlineStr">
        <is>
          <t>Warm - in tracker (DP)</t>
        </is>
      </c>
      <c r="V61" s="6" t="inlineStr">
        <is>
          <t>DP</t>
        </is>
      </c>
      <c r="W61" s="6" t="inlineStr">
        <is>
          <t>Investor tracker 17-04-2026</t>
        </is>
      </c>
    </row>
    <row r="62">
      <c r="A62" s="6" t="inlineStr">
        <is>
          <t>Argus Management Ltd (AIFM) and its provident-fund channel</t>
        </is>
      </c>
      <c r="B62" s="6" t="inlineStr">
        <is>
          <t>AIFM / distributor</t>
        </is>
      </c>
      <c r="C62" s="6" t="inlineStr">
        <is>
          <t>Nicosia</t>
        </is>
      </c>
      <c r="D62" s="6" t="inlineStr">
        <is>
          <t>AIFM of Impactus RAIF; presents to ETYK, PEO, Cyta, Lawyers' provident funds; JP Morgan / Blackstone / Schroders contacts</t>
        </is>
      </c>
      <c r="E62" s="6" t="inlineStr">
        <is>
          <t>n/a</t>
        </is>
      </c>
      <c r="F62" s="6" t="inlineStr">
        <is>
          <t>€150k to €2m per fund</t>
        </is>
      </c>
      <c r="G62" s="6" t="inlineStr">
        <is>
          <t>Fund units, notes</t>
        </is>
      </c>
      <c r="H62" s="6" t="inlineStr">
        <is>
          <t>Cyprus</t>
        </is>
      </c>
      <c r="I62" s="6" t="inlineStr">
        <is>
          <t>n/a</t>
        </is>
      </c>
      <c r="J62" s="6" t="inlineStr">
        <is>
          <t>Case by case</t>
        </is>
      </c>
      <c r="K62" s="11" t="n">
        <v>3</v>
      </c>
      <c r="L62" s="11" t="n">
        <v>2</v>
      </c>
      <c r="M62" s="11" t="n">
        <v>5</v>
      </c>
      <c r="N62" s="11" t="n">
        <v>5</v>
      </c>
      <c r="O62" s="11" t="n">
        <v>2</v>
      </c>
      <c r="P62" s="11" t="n">
        <v>5</v>
      </c>
      <c r="Q62" s="11" t="n">
        <v>3</v>
      </c>
      <c r="R62" s="12">
        <f>ROUND(SUMPRODUCT(K62:Q62,Scoring_Weights!$E$5:$K$5)/Scoring_Weights!$B$12*20,0)</f>
        <v/>
      </c>
      <c r="S62" s="13">
        <f>IF(R62&gt;=Scoring_Weights!$B$15,"Tier 1",IF(R62&gt;=Scoring_Weights!$B$16,"Tier 2","Tier 3"))</f>
        <v/>
      </c>
      <c r="T62" s="6" t="inlineStr">
        <is>
          <t>Convert the two €1m provident-fund IC presentations; design a prudent-person compliant note</t>
        </is>
      </c>
      <c r="U62" s="6" t="inlineStr">
        <is>
          <t>Warm</t>
        </is>
      </c>
      <c r="V62" s="6" t="inlineStr">
        <is>
          <t>AM</t>
        </is>
      </c>
      <c r="W62" s="6" t="inlineStr">
        <is>
          <t>Investor tracker 03-08-2026</t>
        </is>
      </c>
    </row>
    <row r="63">
      <c r="A63" s="6" t="inlineStr">
        <is>
          <t>Muhanna &amp; Co (pension administrator)</t>
        </is>
      </c>
      <c r="B63" s="6" t="inlineStr">
        <is>
          <t>Gateway to Cyprus provident funds</t>
        </is>
      </c>
      <c r="C63" s="6" t="inlineStr">
        <is>
          <t>Nicosia</t>
        </is>
      </c>
      <c r="D63" s="6" t="inlineStr">
        <is>
          <t>General consultant to PEO fund; administers Doctors' Fund (existing IPL shareholder)</t>
        </is>
      </c>
      <c r="E63" s="6" t="inlineStr">
        <is>
          <t>n/a</t>
        </is>
      </c>
      <c r="F63" s="6" t="inlineStr">
        <is>
          <t>€200k to €1m per fund</t>
        </is>
      </c>
      <c r="G63" s="6" t="inlineStr">
        <is>
          <t>Fund units / direct</t>
        </is>
      </c>
      <c r="H63" s="6" t="inlineStr">
        <is>
          <t>Cyprus</t>
        </is>
      </c>
      <c r="I63" s="6" t="inlineStr">
        <is>
          <t>n/a</t>
        </is>
      </c>
      <c r="J63" s="6" t="inlineStr">
        <is>
          <t>Case by case</t>
        </is>
      </c>
      <c r="K63" s="11" t="n">
        <v>3</v>
      </c>
      <c r="L63" s="11" t="n">
        <v>2</v>
      </c>
      <c r="M63" s="11" t="n">
        <v>5</v>
      </c>
      <c r="N63" s="11" t="n">
        <v>5</v>
      </c>
      <c r="O63" s="11" t="n">
        <v>2</v>
      </c>
      <c r="P63" s="11" t="n">
        <v>5</v>
      </c>
      <c r="Q63" s="11" t="n">
        <v>3</v>
      </c>
      <c r="R63" s="12">
        <f>ROUND(SUMPRODUCT(K63:Q63,Scoring_Weights!$E$5:$K$5)/Scoring_Weights!$B$12*20,0)</f>
        <v/>
      </c>
      <c r="S63" s="13">
        <f>IF(R63&gt;=Scoring_Weights!$B$15,"Tier 1",IF(R63&gt;=Scoring_Weights!$B$16,"Tier 2","Tier 3"))</f>
        <v/>
      </c>
      <c r="T63" s="6" t="inlineStr">
        <is>
          <t>Close EY fair-value query, then ask for introductions to the other administered funds</t>
        </is>
      </c>
      <c r="U63" s="6" t="inlineStr">
        <is>
          <t>Warm</t>
        </is>
      </c>
      <c r="V63" s="6" t="inlineStr">
        <is>
          <t>KM (Theodosiou)</t>
        </is>
      </c>
      <c r="W63" s="6" t="inlineStr">
        <is>
          <t>Outlook 17-09-2026</t>
        </is>
      </c>
    </row>
    <row r="64">
      <c r="A64" s="6" t="inlineStr">
        <is>
          <t>J. Safra Sarasin (Rachel Koen)</t>
        </is>
      </c>
      <c r="B64" s="6" t="inlineStr">
        <is>
          <t>Private bank</t>
        </is>
      </c>
      <c r="C64" s="6" t="inlineStr">
        <is>
          <t>Geneva / Nicosia</t>
        </is>
      </c>
      <c r="D64" s="6" t="inlineStr">
        <is>
          <t>IVP deck to investment analysis director (May 2026); introduced McMillan Woods</t>
        </is>
      </c>
      <c r="E64" s="6" t="inlineStr">
        <is>
          <t>n/a</t>
        </is>
      </c>
      <c r="F64" s="6" t="inlineStr">
        <is>
          <t>€1m to €10m</t>
        </is>
      </c>
      <c r="G64" s="6" t="inlineStr">
        <is>
          <t>Private-client placement</t>
        </is>
      </c>
      <c r="H64" s="6" t="inlineStr">
        <is>
          <t>Cyprus / international</t>
        </is>
      </c>
      <c r="I64" s="6" t="inlineStr">
        <is>
          <t>n/a</t>
        </is>
      </c>
      <c r="J64" s="6" t="inlineStr">
        <is>
          <t>Unlikely (bank policy)</t>
        </is>
      </c>
      <c r="K64" s="11" t="n">
        <v>2</v>
      </c>
      <c r="L64" s="11" t="n">
        <v>0</v>
      </c>
      <c r="M64" s="11" t="n">
        <v>4</v>
      </c>
      <c r="N64" s="11" t="n">
        <v>4</v>
      </c>
      <c r="O64" s="11" t="n">
        <v>2</v>
      </c>
      <c r="P64" s="11" t="n">
        <v>4</v>
      </c>
      <c r="Q64" s="11" t="n">
        <v>2</v>
      </c>
      <c r="R64" s="12">
        <f>ROUND(SUMPRODUCT(K64:Q64,Scoring_Weights!$E$5:$K$5)/Scoring_Weights!$B$12*20,0)</f>
        <v/>
      </c>
      <c r="S64" s="13">
        <f>IF(R64&gt;=Scoring_Weights!$B$15,"Tier 1",IF(R64&gt;=Scoring_Weights!$B$16,"Tier 2","Tier 3"))</f>
        <v/>
      </c>
      <c r="T64" s="6" t="inlineStr">
        <is>
          <t>IVP and PE Fund distribution</t>
        </is>
      </c>
      <c r="U64" s="6" t="inlineStr">
        <is>
          <t>Warm</t>
        </is>
      </c>
      <c r="V64" s="6" t="inlineStr">
        <is>
          <t>AM</t>
        </is>
      </c>
      <c r="W64" s="6" t="inlineStr">
        <is>
          <t>Outlook 15-05-2026</t>
        </is>
      </c>
    </row>
    <row r="65">
      <c r="A65" s="6" t="inlineStr">
        <is>
          <t>KPMG Cyprus (Christos Vasiliou) - placement mandate</t>
        </is>
      </c>
      <c r="B65" s="6" t="inlineStr">
        <is>
          <t>Adviser</t>
        </is>
      </c>
      <c r="C65" s="6" t="inlineStr">
        <is>
          <t>Nicosia</t>
        </is>
      </c>
      <c r="D65" s="6" t="inlineStr">
        <is>
          <t>Mandate to raise c.€150-200m (Oct 2025); KPMG Sweden follow-up</t>
        </is>
      </c>
      <c r="E65" s="6" t="inlineStr">
        <is>
          <t>n/a</t>
        </is>
      </c>
      <c r="F65" s="6" t="inlineStr">
        <is>
          <t>n/a</t>
        </is>
      </c>
      <c r="G65" s="6" t="inlineStr">
        <is>
          <t>Advisory</t>
        </is>
      </c>
      <c r="H65" s="6" t="inlineStr">
        <is>
          <t>Cyprus / Nordics</t>
        </is>
      </c>
      <c r="I65" s="6" t="inlineStr">
        <is>
          <t>n/a</t>
        </is>
      </c>
      <c r="J65" s="6" t="inlineStr">
        <is>
          <t>Policy-constrained</t>
        </is>
      </c>
      <c r="K65" s="11" t="n">
        <v>2</v>
      </c>
      <c r="L65" s="11" t="n">
        <v>0</v>
      </c>
      <c r="M65" s="11" t="n">
        <v>3</v>
      </c>
      <c r="N65" s="11" t="n">
        <v>5</v>
      </c>
      <c r="O65" s="11" t="n">
        <v>2</v>
      </c>
      <c r="P65" s="11" t="n">
        <v>5</v>
      </c>
      <c r="Q65" s="11" t="n">
        <v>2</v>
      </c>
      <c r="R65" s="12">
        <f>ROUND(SUMPRODUCT(K65:Q65,Scoring_Weights!$E$5:$K$5)/Scoring_Weights!$B$12*20,0)</f>
        <v/>
      </c>
      <c r="S65" s="13">
        <f>IF(R65&gt;=Scoring_Weights!$B$15,"Tier 1",IF(R65&gt;=Scoring_Weights!$B$16,"Tier 2","Tier 3"))</f>
        <v/>
      </c>
      <c r="T65" s="6" t="inlineStr">
        <is>
          <t>Demand a named target list and 90-day plan</t>
        </is>
      </c>
      <c r="U65" s="6" t="inlineStr">
        <is>
          <t>Warm</t>
        </is>
      </c>
      <c r="V65" s="6" t="inlineStr">
        <is>
          <t>AM</t>
        </is>
      </c>
      <c r="W65" s="6" t="inlineStr">
        <is>
          <t>Investor tracker 22-10-2025</t>
        </is>
      </c>
    </row>
    <row r="66">
      <c r="A66" s="6" t="inlineStr">
        <is>
          <t>Axia Ventures Group</t>
        </is>
      </c>
      <c r="B66" s="6" t="inlineStr">
        <is>
          <t>Greek / Cypriot investment bank</t>
        </is>
      </c>
      <c r="C66" s="6" t="inlineStr">
        <is>
          <t>Athens / Nicosia</t>
        </is>
      </c>
      <c r="D66" s="6" t="inlineStr">
        <is>
          <t>Meetings 2025-26; 'Infiniteria' update; Curity update Jun 2026</t>
        </is>
      </c>
      <c r="E66" s="6" t="inlineStr">
        <is>
          <t>n/a</t>
        </is>
      </c>
      <c r="F66" s="6" t="inlineStr">
        <is>
          <t>n/a</t>
        </is>
      </c>
      <c r="G66" s="6" t="inlineStr">
        <is>
          <t>ECM / private placement</t>
        </is>
      </c>
      <c r="H66" s="6" t="inlineStr">
        <is>
          <t>Greece / Cyprus</t>
        </is>
      </c>
      <c r="I66" s="6" t="inlineStr">
        <is>
          <t>n/a</t>
        </is>
      </c>
      <c r="J66" s="6" t="inlineStr">
        <is>
          <t>Case by case</t>
        </is>
      </c>
      <c r="K66" s="11" t="n">
        <v>3</v>
      </c>
      <c r="L66" s="11" t="n">
        <v>2</v>
      </c>
      <c r="M66" s="11" t="n">
        <v>4</v>
      </c>
      <c r="N66" s="11" t="n">
        <v>5</v>
      </c>
      <c r="O66" s="11" t="n">
        <v>3</v>
      </c>
      <c r="P66" s="11" t="n">
        <v>5</v>
      </c>
      <c r="Q66" s="11" t="n">
        <v>3</v>
      </c>
      <c r="R66" s="12">
        <f>ROUND(SUMPRODUCT(K66:Q66,Scoring_Weights!$E$5:$K$5)/Scoring_Weights!$B$12*20,0)</f>
        <v/>
      </c>
      <c r="S66" s="13">
        <f>IF(R66&gt;=Scoring_Weights!$B$15,"Tier 1",IF(R66&gt;=Scoring_Weights!$B$16,"Tier 2","Tier 3"))</f>
        <v/>
      </c>
      <c r="T66" s="6" t="inlineStr">
        <is>
          <t>Run a Greek family-office process for IVP / IPL</t>
        </is>
      </c>
      <c r="U66" s="6" t="inlineStr">
        <is>
          <t>Warm</t>
        </is>
      </c>
      <c r="V66" s="6" t="inlineStr">
        <is>
          <t>AM (Achilleoudis)</t>
        </is>
      </c>
      <c r="W66" s="6" t="inlineStr">
        <is>
          <t>Outlook 24-06-2026</t>
        </is>
      </c>
    </row>
    <row r="67">
      <c r="A67" s="6" t="inlineStr">
        <is>
          <t>Venero Capital Advisors</t>
        </is>
      </c>
      <c r="B67" s="6" t="inlineStr">
        <is>
          <t>Debt advisor (engaged)</t>
        </is>
      </c>
      <c r="C67" s="6" t="inlineStr">
        <is>
          <t>Athens</t>
        </is>
      </c>
      <c r="D67" s="6" t="inlineStr">
        <is>
          <t>Running Credia LOI / senior process; EIB thread</t>
        </is>
      </c>
      <c r="E67" s="6" t="inlineStr">
        <is>
          <t>n/a</t>
        </is>
      </c>
      <c r="F67" s="6" t="inlineStr">
        <is>
          <t>n/a</t>
        </is>
      </c>
      <c r="G67" s="6" t="inlineStr">
        <is>
          <t>Debt advisory</t>
        </is>
      </c>
      <c r="H67" s="6" t="inlineStr">
        <is>
          <t>Greece</t>
        </is>
      </c>
      <c r="I67" s="6" t="inlineStr">
        <is>
          <t>n/a</t>
        </is>
      </c>
      <c r="J67" s="6" t="inlineStr">
        <is>
          <t>n/a</t>
        </is>
      </c>
      <c r="K67" s="11" t="n">
        <v>4</v>
      </c>
      <c r="L67" s="11" t="n">
        <v>0</v>
      </c>
      <c r="M67" s="11" t="n">
        <v>5</v>
      </c>
      <c r="N67" s="11" t="n">
        <v>5</v>
      </c>
      <c r="O67" s="11" t="n">
        <v>3</v>
      </c>
      <c r="P67" s="11" t="n">
        <v>5</v>
      </c>
      <c r="Q67" s="11" t="n">
        <v>4</v>
      </c>
      <c r="R67" s="12">
        <f>ROUND(SUMPRODUCT(K67:Q67,Scoring_Weights!$E$5:$K$5)/Scoring_Weights!$B$12*20,0)</f>
        <v/>
      </c>
      <c r="S67" s="13">
        <f>IF(R67&gt;=Scoring_Weights!$B$15,"Tier 1",IF(R67&gt;=Scoring_Weights!$B$16,"Tier 2","Tier 3"))</f>
        <v/>
      </c>
      <c r="T67" s="6" t="inlineStr">
        <is>
          <t>Mandate to open two alternative senior / hybrid lenders in parallel to Credia</t>
        </is>
      </c>
      <c r="U67" s="6" t="inlineStr">
        <is>
          <t>Warm</t>
        </is>
      </c>
      <c r="V67" s="6" t="inlineStr">
        <is>
          <t>KM (Chatzilias, Politis)</t>
        </is>
      </c>
      <c r="W67" s="6" t="inlineStr">
        <is>
          <t>Credia thread</t>
        </is>
      </c>
    </row>
    <row r="68">
      <c r="A68" s="6" t="inlineStr">
        <is>
          <t>Threadmark</t>
        </is>
      </c>
      <c r="B68" s="6" t="inlineStr">
        <is>
          <t>Placement agent - first-time / niche</t>
        </is>
      </c>
      <c r="C68" s="6" t="inlineStr">
        <is>
          <t>London</t>
        </is>
      </c>
      <c r="D68" s="6" t="inlineStr">
        <is>
          <t>Specialises in first-time managers; US$60b raised</t>
        </is>
      </c>
      <c r="E68" s="6" t="inlineStr">
        <is>
          <t>n/a</t>
        </is>
      </c>
      <c r="F68" s="6" t="inlineStr">
        <is>
          <t>€50m+ mandates</t>
        </is>
      </c>
      <c r="G68" s="6" t="inlineStr">
        <is>
          <t>Placement</t>
        </is>
      </c>
      <c r="H68" s="6" t="inlineStr">
        <is>
          <t>Global</t>
        </is>
      </c>
      <c r="I68" s="6" t="inlineStr">
        <is>
          <t>n/a</t>
        </is>
      </c>
      <c r="J68" s="6" t="inlineStr">
        <is>
          <t>Ask</t>
        </is>
      </c>
      <c r="K68" s="11" t="n">
        <v>2</v>
      </c>
      <c r="L68" s="11" t="n">
        <v>1</v>
      </c>
      <c r="M68" s="11" t="n">
        <v>4</v>
      </c>
      <c r="N68" s="11" t="n">
        <v>2</v>
      </c>
      <c r="O68" s="11" t="n">
        <v>3</v>
      </c>
      <c r="P68" s="11" t="n">
        <v>1</v>
      </c>
      <c r="Q68" s="11" t="n">
        <v>3</v>
      </c>
      <c r="R68" s="12">
        <f>ROUND(SUMPRODUCT(K68:Q68,Scoring_Weights!$E$5:$K$5)/Scoring_Weights!$B$12*20,0)</f>
        <v/>
      </c>
      <c r="S68" s="13">
        <f>IF(R68&gt;=Scoring_Weights!$B$15,"Tier 1",IF(R68&gt;=Scoring_Weights!$B$16,"Tier 2","Tier 3"))</f>
        <v/>
      </c>
      <c r="T68" s="6" t="inlineStr">
        <is>
          <t>IVP placement (success-fee only)</t>
        </is>
      </c>
      <c r="U68" s="6" t="inlineStr">
        <is>
          <t>Cold</t>
        </is>
      </c>
      <c r="V68" s="6" t="inlineStr"/>
      <c r="W68" s="6" t="inlineStr">
        <is>
          <t>threadmark.com</t>
        </is>
      </c>
    </row>
    <row r="69">
      <c r="A69" s="6" t="inlineStr">
        <is>
          <t>Elm Capital</t>
        </is>
      </c>
      <c r="B69" s="6" t="inlineStr">
        <is>
          <t>Placement agent - boutique</t>
        </is>
      </c>
      <c r="C69" s="6" t="inlineStr">
        <is>
          <t>London</t>
        </is>
      </c>
      <c r="D69" s="6" t="inlineStr">
        <is>
          <t>PE, credit funds, co-investments; €50m to €200m raises [K]</t>
        </is>
      </c>
      <c r="E69" s="6" t="inlineStr">
        <is>
          <t>n/a</t>
        </is>
      </c>
      <c r="F69" s="6" t="inlineStr">
        <is>
          <t>€50m+</t>
        </is>
      </c>
      <c r="G69" s="6" t="inlineStr">
        <is>
          <t>Placement</t>
        </is>
      </c>
      <c r="H69" s="6" t="inlineStr">
        <is>
          <t>Europe</t>
        </is>
      </c>
      <c r="I69" s="6" t="inlineStr">
        <is>
          <t>n/a</t>
        </is>
      </c>
      <c r="J69" s="6" t="inlineStr">
        <is>
          <t>Ask</t>
        </is>
      </c>
      <c r="K69" s="11" t="n">
        <v>2</v>
      </c>
      <c r="L69" s="11" t="n">
        <v>1</v>
      </c>
      <c r="M69" s="11" t="n">
        <v>4</v>
      </c>
      <c r="N69" s="11" t="n">
        <v>2</v>
      </c>
      <c r="O69" s="11" t="n">
        <v>3</v>
      </c>
      <c r="P69" s="11" t="n">
        <v>1</v>
      </c>
      <c r="Q69" s="11" t="n">
        <v>3</v>
      </c>
      <c r="R69" s="12">
        <f>ROUND(SUMPRODUCT(K69:Q69,Scoring_Weights!$E$5:$K$5)/Scoring_Weights!$B$12*20,0)</f>
        <v/>
      </c>
      <c r="S69" s="13">
        <f>IF(R69&gt;=Scoring_Weights!$B$15,"Tier 1",IF(R69&gt;=Scoring_Weights!$B$16,"Tier 2","Tier 3"))</f>
        <v/>
      </c>
      <c r="T69" s="6" t="inlineStr">
        <is>
          <t>IVP placement</t>
        </is>
      </c>
      <c r="U69" s="6" t="inlineStr">
        <is>
          <t>Cold</t>
        </is>
      </c>
      <c r="V69" s="6" t="inlineStr"/>
      <c r="W69" s="6" t="inlineStr">
        <is>
          <t>Companies House / LinkedIn</t>
        </is>
      </c>
    </row>
    <row r="70">
      <c r="A70" s="6" t="inlineStr">
        <is>
          <t>Cebile Capital</t>
        </is>
      </c>
      <c r="B70" s="6" t="inlineStr">
        <is>
          <t>Placement agent - impact / emerging</t>
        </is>
      </c>
      <c r="C70" s="6" t="inlineStr">
        <is>
          <t>London</t>
        </is>
      </c>
      <c r="D70" s="6" t="inlineStr">
        <is>
          <t>Impact / emerging-manager raises from c.€50m [K]</t>
        </is>
      </c>
      <c r="E70" s="6" t="inlineStr">
        <is>
          <t>n/a</t>
        </is>
      </c>
      <c r="F70" s="6" t="inlineStr">
        <is>
          <t>€50m+</t>
        </is>
      </c>
      <c r="G70" s="6" t="inlineStr">
        <is>
          <t>Placement</t>
        </is>
      </c>
      <c r="H70" s="6" t="inlineStr">
        <is>
          <t>Europe</t>
        </is>
      </c>
      <c r="I70" s="6" t="inlineStr">
        <is>
          <t>n/a</t>
        </is>
      </c>
      <c r="J70" s="6" t="inlineStr">
        <is>
          <t>Ask</t>
        </is>
      </c>
      <c r="K70" s="11" t="n">
        <v>2</v>
      </c>
      <c r="L70" s="11" t="n">
        <v>1</v>
      </c>
      <c r="M70" s="11" t="n">
        <v>4</v>
      </c>
      <c r="N70" s="11" t="n">
        <v>2</v>
      </c>
      <c r="O70" s="11" t="n">
        <v>3</v>
      </c>
      <c r="P70" s="11" t="n">
        <v>1</v>
      </c>
      <c r="Q70" s="11" t="n">
        <v>3</v>
      </c>
      <c r="R70" s="12">
        <f>ROUND(SUMPRODUCT(K70:Q70,Scoring_Weights!$E$5:$K$5)/Scoring_Weights!$B$12*20,0)</f>
        <v/>
      </c>
      <c r="S70" s="13">
        <f>IF(R70&gt;=Scoring_Weights!$B$15,"Tier 1",IF(R70&gt;=Scoring_Weights!$B$16,"Tier 2","Tier 3"))</f>
        <v/>
      </c>
      <c r="T70" s="6" t="inlineStr">
        <is>
          <t>IVP placement</t>
        </is>
      </c>
      <c r="U70" s="6" t="inlineStr">
        <is>
          <t>Cold</t>
        </is>
      </c>
      <c r="V70" s="6" t="inlineStr"/>
      <c r="W70" s="6" t="inlineStr">
        <is>
          <t>[K]</t>
        </is>
      </c>
    </row>
    <row r="71">
      <c r="A71" s="6" t="inlineStr">
        <is>
          <t>Ambrosia Capital</t>
        </is>
      </c>
      <c r="B71" s="6" t="inlineStr">
        <is>
          <t>Greek boutique investment bank</t>
        </is>
      </c>
      <c r="C71" s="6" t="inlineStr">
        <is>
          <t>Athens</t>
        </is>
      </c>
      <c r="D71" s="6" t="inlineStr">
        <is>
          <t>ECM / private placements for Greek issuers [K]</t>
        </is>
      </c>
      <c r="E71" s="6" t="inlineStr">
        <is>
          <t>n/a</t>
        </is>
      </c>
      <c r="F71" s="6" t="inlineStr">
        <is>
          <t>n/a</t>
        </is>
      </c>
      <c r="G71" s="6" t="inlineStr">
        <is>
          <t>Placement</t>
        </is>
      </c>
      <c r="H71" s="6" t="inlineStr">
        <is>
          <t>Greece</t>
        </is>
      </c>
      <c r="I71" s="6" t="inlineStr">
        <is>
          <t>n/a</t>
        </is>
      </c>
      <c r="J71" s="6" t="inlineStr">
        <is>
          <t>Case by case</t>
        </is>
      </c>
      <c r="K71" s="11" t="n">
        <v>2</v>
      </c>
      <c r="L71" s="11" t="n">
        <v>1</v>
      </c>
      <c r="M71" s="11" t="n">
        <v>4</v>
      </c>
      <c r="N71" s="11" t="n">
        <v>5</v>
      </c>
      <c r="O71" s="11" t="n">
        <v>3</v>
      </c>
      <c r="P71" s="11" t="n">
        <v>1</v>
      </c>
      <c r="Q71" s="11" t="n">
        <v>3</v>
      </c>
      <c r="R71" s="12">
        <f>ROUND(SUMPRODUCT(K71:Q71,Scoring_Weights!$E$5:$K$5)/Scoring_Weights!$B$12*20,0)</f>
        <v/>
      </c>
      <c r="S71" s="13">
        <f>IF(R71&gt;=Scoring_Weights!$B$15,"Tier 1",IF(R71&gt;=Scoring_Weights!$B$16,"Tier 2","Tier 3"))</f>
        <v/>
      </c>
      <c r="T71" s="6" t="inlineStr">
        <is>
          <t>Greek family-office and insurer process</t>
        </is>
      </c>
      <c r="U71" s="6" t="inlineStr">
        <is>
          <t>Cold</t>
        </is>
      </c>
      <c r="V71" s="6" t="inlineStr"/>
      <c r="W71" s="6" t="inlineStr">
        <is>
          <t>[K]</t>
        </is>
      </c>
    </row>
    <row r="72">
      <c r="A72" s="6" t="inlineStr">
        <is>
          <t>Emergo Wealth / MeritKapital / Argus Stockbrokers</t>
        </is>
      </c>
      <c r="B72" s="6" t="inlineStr">
        <is>
          <t>Cyprus CIF distributors</t>
        </is>
      </c>
      <c r="C72" s="6" t="inlineStr">
        <is>
          <t>Nicosia / Limassol</t>
        </is>
      </c>
      <c r="D72" s="6" t="inlineStr">
        <is>
          <t>CySEC CIF licences permitting placing to well-informed investors</t>
        </is>
      </c>
      <c r="E72" s="6" t="inlineStr">
        <is>
          <t>n/a</t>
        </is>
      </c>
      <c r="F72" s="6" t="inlineStr">
        <is>
          <t>€100k to €1m per client</t>
        </is>
      </c>
      <c r="G72" s="6" t="inlineStr">
        <is>
          <t>Distribution</t>
        </is>
      </c>
      <c r="H72" s="6" t="inlineStr">
        <is>
          <t>Cyprus</t>
        </is>
      </c>
      <c r="I72" s="6" t="inlineStr">
        <is>
          <t>n/a</t>
        </is>
      </c>
      <c r="J72" s="6" t="inlineStr">
        <is>
          <t>Case by case</t>
        </is>
      </c>
      <c r="K72" s="11" t="n">
        <v>2</v>
      </c>
      <c r="L72" s="11" t="n">
        <v>2</v>
      </c>
      <c r="M72" s="11" t="n">
        <v>5</v>
      </c>
      <c r="N72" s="11" t="n">
        <v>5</v>
      </c>
      <c r="O72" s="11" t="n">
        <v>2</v>
      </c>
      <c r="P72" s="11" t="n">
        <v>2</v>
      </c>
      <c r="Q72" s="11" t="n">
        <v>4</v>
      </c>
      <c r="R72" s="12">
        <f>ROUND(SUMPRODUCT(K72:Q72,Scoring_Weights!$E$5:$K$5)/Scoring_Weights!$B$12*20,0)</f>
        <v/>
      </c>
      <c r="S72" s="13">
        <f>IF(R72&gt;=Scoring_Weights!$B$15,"Tier 1",IF(R72&gt;=Scoring_Weights!$B$16,"Tier 2","Tier 3"))</f>
        <v/>
      </c>
      <c r="T72" s="6" t="inlineStr">
        <is>
          <t>Distribution of the 8% note products</t>
        </is>
      </c>
      <c r="U72" s="6" t="inlineStr">
        <is>
          <t>Warm via Argus / CIFA</t>
        </is>
      </c>
      <c r="V72" s="6" t="inlineStr"/>
      <c r="W72" s="6" t="inlineStr">
        <is>
          <t>CIFA member list</t>
        </is>
      </c>
    </row>
    <row r="73">
      <c r="A73" s="6" t="inlineStr">
        <is>
          <t>Athlos Capital</t>
        </is>
      </c>
      <c r="B73" s="6" t="inlineStr">
        <is>
          <t>Cyprus asset manager</t>
        </is>
      </c>
      <c r="C73" s="6" t="inlineStr">
        <is>
          <t>Nicosia</t>
        </is>
      </c>
      <c r="D73" s="6" t="inlineStr">
        <is>
          <t>Manages CPEF cash; launching UBS-issued AMC</t>
        </is>
      </c>
      <c r="E73" s="6" t="inlineStr">
        <is>
          <t>n/a</t>
        </is>
      </c>
      <c r="F73" s="6" t="inlineStr">
        <is>
          <t>€1m to €10m</t>
        </is>
      </c>
      <c r="G73" s="6" t="inlineStr">
        <is>
          <t>AMC / certificate wrapper</t>
        </is>
      </c>
      <c r="H73" s="6" t="inlineStr">
        <is>
          <t>Cyprus</t>
        </is>
      </c>
      <c r="I73" s="6" t="inlineStr">
        <is>
          <t>n/a</t>
        </is>
      </c>
      <c r="J73" s="6" t="inlineStr">
        <is>
          <t>Tolerant (existing)</t>
        </is>
      </c>
      <c r="K73" s="11" t="n">
        <v>2</v>
      </c>
      <c r="L73" s="11" t="n">
        <v>3</v>
      </c>
      <c r="M73" s="11" t="n">
        <v>5</v>
      </c>
      <c r="N73" s="11" t="n">
        <v>5</v>
      </c>
      <c r="O73" s="11" t="n">
        <v>2</v>
      </c>
      <c r="P73" s="11" t="n">
        <v>5</v>
      </c>
      <c r="Q73" s="11" t="n">
        <v>4</v>
      </c>
      <c r="R73" s="12">
        <f>ROUND(SUMPRODUCT(K73:Q73,Scoring_Weights!$E$5:$K$5)/Scoring_Weights!$B$12*20,0)</f>
        <v/>
      </c>
      <c r="S73" s="13">
        <f>IF(R73&gt;=Scoring_Weights!$B$15,"Tier 1",IF(R73&gt;=Scoring_Weights!$B$16,"Tier 2","Tier 3"))</f>
        <v/>
      </c>
      <c r="T73" s="6" t="inlineStr">
        <is>
          <t>AMC wrapper for the Impactus fixed-income products</t>
        </is>
      </c>
      <c r="U73" s="6" t="inlineStr">
        <is>
          <t>Warm</t>
        </is>
      </c>
      <c r="V73" s="6" t="inlineStr">
        <is>
          <t>MI</t>
        </is>
      </c>
      <c r="W73" s="6" t="inlineStr">
        <is>
          <t>Outlook 21-09-2026</t>
        </is>
      </c>
    </row>
    <row r="74">
      <c r="A74" s="6" t="inlineStr">
        <is>
          <t>Bank of Cyprus (Corporate / Green lending)</t>
        </is>
      </c>
      <c r="B74" s="6" t="inlineStr">
        <is>
          <t>Cyprus bank</t>
        </is>
      </c>
      <c r="C74" s="6" t="inlineStr">
        <is>
          <t>Nicosia</t>
        </is>
      </c>
      <c r="D74" s="6" t="inlineStr">
        <is>
          <t>Assets €28.6b; provident fund is a large Cyprus LP</t>
        </is>
      </c>
      <c r="E74" s="6" t="inlineStr">
        <is>
          <t>€28.6b</t>
        </is>
      </c>
      <c r="F74" s="6" t="inlineStr">
        <is>
          <t>€5m to €50m</t>
        </is>
      </c>
      <c r="G74" s="6" t="inlineStr">
        <is>
          <t>Corporate loans; small capital-call line</t>
        </is>
      </c>
      <c r="H74" s="6" t="inlineStr">
        <is>
          <t>Cyprus</t>
        </is>
      </c>
      <c r="I74" s="6" t="inlineStr">
        <is>
          <t>Green lending [K]</t>
        </is>
      </c>
      <c r="J74" s="6" t="inlineStr">
        <is>
          <t>Unknown</t>
        </is>
      </c>
      <c r="K74" s="11" t="n">
        <v>2</v>
      </c>
      <c r="L74" s="11" t="n">
        <v>1</v>
      </c>
      <c r="M74" s="11" t="n">
        <v>4</v>
      </c>
      <c r="N74" s="11" t="n">
        <v>5</v>
      </c>
      <c r="O74" s="11" t="n">
        <v>2</v>
      </c>
      <c r="P74" s="11" t="n">
        <v>3</v>
      </c>
      <c r="Q74" s="11" t="n">
        <v>3</v>
      </c>
      <c r="R74" s="12">
        <f>ROUND(SUMPRODUCT(K74:Q74,Scoring_Weights!$E$5:$K$5)/Scoring_Weights!$B$12*20,0)</f>
        <v/>
      </c>
      <c r="S74" s="13">
        <f>IF(R74&gt;=Scoring_Weights!$B$15,"Tier 1",IF(R74&gt;=Scoring_Weights!$B$16,"Tier 2","Tier 3"))</f>
        <v/>
      </c>
      <c r="T74" s="6" t="inlineStr">
        <is>
          <t>Capital-call line for PE Fund (ex-CPEF); BoC provident fund as LP</t>
        </is>
      </c>
      <c r="U74" s="6" t="inlineStr">
        <is>
          <t>Warm via Argus</t>
        </is>
      </c>
      <c r="V74" s="6" t="inlineStr"/>
      <c r="W74" s="6" t="inlineStr">
        <is>
          <t>research briefing</t>
        </is>
      </c>
    </row>
    <row r="75">
      <c r="A75" s="6" t="inlineStr">
        <is>
          <t>Hark Capital (Aberdeen)</t>
        </is>
      </c>
      <c r="B75" s="6" t="inlineStr">
        <is>
          <t>NAV lender to small sponsors</t>
        </is>
      </c>
      <c r="C75" s="6" t="inlineStr">
        <is>
          <t>New York / London</t>
        </is>
      </c>
      <c r="D75" s="6" t="inlineStr">
        <is>
          <t>Non-dilutive NAV loans US$5m to US$50m against concentrated portfolios [K]</t>
        </is>
      </c>
      <c r="E75" s="6" t="inlineStr">
        <is>
          <t>n/a</t>
        </is>
      </c>
      <c r="F75" s="6" t="inlineStr">
        <is>
          <t>US$5m to US$50m</t>
        </is>
      </c>
      <c r="G75" s="6" t="inlineStr">
        <is>
          <t>NAV loans</t>
        </is>
      </c>
      <c r="H75" s="6" t="inlineStr">
        <is>
          <t>Global</t>
        </is>
      </c>
      <c r="I75" s="6" t="inlineStr">
        <is>
          <t>n/a</t>
        </is>
      </c>
      <c r="J75" s="6" t="inlineStr">
        <is>
          <t>Excluded</t>
        </is>
      </c>
      <c r="K75" s="11" t="n">
        <v>1</v>
      </c>
      <c r="L75" s="11" t="n">
        <v>0</v>
      </c>
      <c r="M75" s="11" t="n">
        <v>4</v>
      </c>
      <c r="N75" s="11" t="n">
        <v>1</v>
      </c>
      <c r="O75" s="11" t="n">
        <v>3</v>
      </c>
      <c r="P75" s="11" t="n">
        <v>1</v>
      </c>
      <c r="Q75" s="11" t="n">
        <v>3</v>
      </c>
      <c r="R75" s="12">
        <f>ROUND(SUMPRODUCT(K75:Q75,Scoring_Weights!$E$5:$K$5)/Scoring_Weights!$B$12*20,0)</f>
        <v/>
      </c>
      <c r="S75" s="13">
        <f>IF(R75&gt;=Scoring_Weights!$B$15,"Tier 1",IF(R75&gt;=Scoring_Weights!$B$16,"Tier 2","Tier 3"))</f>
        <v/>
      </c>
      <c r="T75" s="6" t="inlineStr">
        <is>
          <t>Only NAV lender plausibly at Impactus' scale; cannabis must be outside borrowing base</t>
        </is>
      </c>
      <c r="U75" s="6" t="inlineStr">
        <is>
          <t>Cold</t>
        </is>
      </c>
      <c r="V75" s="6" t="inlineStr"/>
      <c r="W75" s="6" t="inlineStr">
        <is>
          <t>harkcap.com</t>
        </is>
      </c>
    </row>
    <row r="76">
      <c r="A76" s="6" t="inlineStr">
        <is>
          <t>17Capital (Oaktree)</t>
        </is>
      </c>
      <c r="B76" s="6" t="inlineStr">
        <is>
          <t>NAV finance</t>
        </is>
      </c>
      <c r="C76" s="6" t="inlineStr">
        <is>
          <t>London</t>
        </is>
      </c>
      <c r="D76" s="6" t="inlineStr">
        <is>
          <t>Largest buyout managers; loans typically €50m+ [K]</t>
        </is>
      </c>
      <c r="E76" s="6" t="inlineStr">
        <is>
          <t>n/a</t>
        </is>
      </c>
      <c r="F76" s="6" t="inlineStr">
        <is>
          <t>€50m+</t>
        </is>
      </c>
      <c r="G76" s="6" t="inlineStr">
        <is>
          <t>NAV</t>
        </is>
      </c>
      <c r="H76" s="6" t="inlineStr">
        <is>
          <t>Global</t>
        </is>
      </c>
      <c r="I76" s="6" t="inlineStr">
        <is>
          <t>n/a</t>
        </is>
      </c>
      <c r="J76" s="6" t="inlineStr">
        <is>
          <t>Excluded</t>
        </is>
      </c>
      <c r="K76" s="11" t="n">
        <v>0</v>
      </c>
      <c r="L76" s="11" t="n">
        <v>0</v>
      </c>
      <c r="M76" s="11" t="n">
        <v>1</v>
      </c>
      <c r="N76" s="11" t="n">
        <v>1</v>
      </c>
      <c r="O76" s="11" t="n">
        <v>2</v>
      </c>
      <c r="P76" s="11" t="n">
        <v>1</v>
      </c>
      <c r="Q76" s="11" t="n">
        <v>2</v>
      </c>
      <c r="R76" s="12">
        <f>ROUND(SUMPRODUCT(K76:Q76,Scoring_Weights!$E$5:$K$5)/Scoring_Weights!$B$12*20,0)</f>
        <v/>
      </c>
      <c r="S76" s="13">
        <f>IF(R76&gt;=Scoring_Weights!$B$15,"Tier 1",IF(R76&gt;=Scoring_Weights!$B$16,"Tier 2","Tier 3"))</f>
        <v/>
      </c>
      <c r="T76" s="6" t="inlineStr">
        <is>
          <t>Not relevant at this scale</t>
        </is>
      </c>
      <c r="U76" s="6" t="inlineStr">
        <is>
          <t>n/a</t>
        </is>
      </c>
      <c r="V76" s="6" t="inlineStr"/>
      <c r="W76" s="6" t="inlineStr">
        <is>
          <t>17capital.com</t>
        </is>
      </c>
    </row>
    <row r="77">
      <c r="A77" s="6" t="inlineStr">
        <is>
          <t>HSBC Innovation Banking (ex-SVB UK)</t>
        </is>
      </c>
      <c r="B77" s="6" t="inlineStr">
        <is>
          <t>Emerging-manager sub-lines</t>
        </is>
      </c>
      <c r="C77" s="6" t="inlineStr">
        <is>
          <t>London</t>
        </is>
      </c>
      <c r="D77" s="6" t="inlineStr">
        <is>
          <t>Capital-call lines for emerging managers</t>
        </is>
      </c>
      <c r="E77" s="6" t="inlineStr">
        <is>
          <t>n/a</t>
        </is>
      </c>
      <c r="F77" s="6" t="inlineStr">
        <is>
          <t>£10m+</t>
        </is>
      </c>
      <c r="G77" s="6" t="inlineStr">
        <is>
          <t>Sub-line</t>
        </is>
      </c>
      <c r="H77" s="6" t="inlineStr">
        <is>
          <t>UK / EU</t>
        </is>
      </c>
      <c r="I77" s="6" t="inlineStr">
        <is>
          <t>n/a</t>
        </is>
      </c>
      <c r="J77" s="6" t="inlineStr">
        <is>
          <t>Excluded (POCA)</t>
        </is>
      </c>
      <c r="K77" s="11" t="n">
        <v>1</v>
      </c>
      <c r="L77" s="11" t="n">
        <v>0</v>
      </c>
      <c r="M77" s="11" t="n">
        <v>3</v>
      </c>
      <c r="N77" s="11" t="n">
        <v>1</v>
      </c>
      <c r="O77" s="11" t="n">
        <v>2</v>
      </c>
      <c r="P77" s="11" t="n">
        <v>1</v>
      </c>
      <c r="Q77" s="11" t="n">
        <v>3</v>
      </c>
      <c r="R77" s="12">
        <f>ROUND(SUMPRODUCT(K77:Q77,Scoring_Weights!$E$5:$K$5)/Scoring_Weights!$B$12*20,0)</f>
        <v/>
      </c>
      <c r="S77" s="13">
        <f>IF(R77&gt;=Scoring_Weights!$B$15,"Tier 1",IF(R77&gt;=Scoring_Weights!$B$16,"Tier 2","Tier 3"))</f>
        <v/>
      </c>
      <c r="T77" s="6" t="inlineStr">
        <is>
          <t>PE Fund sub-line if ≥€25m institutional commitments</t>
        </is>
      </c>
      <c r="U77" s="6" t="inlineStr">
        <is>
          <t>Cold</t>
        </is>
      </c>
      <c r="V77" s="6" t="inlineStr"/>
      <c r="W77" s="6" t="inlineStr">
        <is>
          <t>hsbcinnovationbanking.com</t>
        </is>
      </c>
    </row>
    <row r="78">
      <c r="A78" s="6" t="inlineStr">
        <is>
          <t>Pyrum Innovations AG (BASF, Continental investors)</t>
        </is>
      </c>
      <c r="B78" s="6" t="inlineStr">
        <is>
          <t>Technology provider / strategic</t>
        </is>
      </c>
      <c r="C78" s="6" t="inlineStr">
        <is>
          <t>Dillingen</t>
        </is>
      </c>
      <c r="D78" s="6" t="inlineStr">
        <is>
          <t>≥10% intended stake in Thermo Lysi; BASF €25m conditional loan to Pyrum; rights issue €13m (Dec 2025)</t>
        </is>
      </c>
      <c r="E78" s="6" t="inlineStr">
        <is>
          <t>n/a</t>
        </is>
      </c>
      <c r="F78" s="6" t="inlineStr">
        <is>
          <t>€2m to €10m</t>
        </is>
      </c>
      <c r="G78" s="6" t="inlineStr">
        <is>
          <t>Equity roll-in; supplier credit</t>
        </is>
      </c>
      <c r="H78" s="6" t="inlineStr">
        <is>
          <t>Germany / Greece</t>
        </is>
      </c>
      <c r="I78" s="6" t="inlineStr">
        <is>
          <t>n/a</t>
        </is>
      </c>
      <c r="J78" s="6" t="inlineStr">
        <is>
          <t>n/a</t>
        </is>
      </c>
      <c r="K78" s="11" t="n">
        <v>4</v>
      </c>
      <c r="L78" s="11" t="n">
        <v>0</v>
      </c>
      <c r="M78" s="11" t="n">
        <v>4</v>
      </c>
      <c r="N78" s="11" t="n">
        <v>4</v>
      </c>
      <c r="O78" s="11" t="n">
        <v>4</v>
      </c>
      <c r="P78" s="11" t="n">
        <v>5</v>
      </c>
      <c r="Q78" s="11" t="n">
        <v>3</v>
      </c>
      <c r="R78" s="12">
        <f>ROUND(SUMPRODUCT(K78:Q78,Scoring_Weights!$E$5:$K$5)/Scoring_Weights!$B$12*20,0)</f>
        <v/>
      </c>
      <c r="S78" s="13">
        <f>IF(R78&gt;=Scoring_Weights!$B$15,"Tier 1",IF(R78&gt;=Scoring_Weights!$B$16,"Tier 2","Tier 3"))</f>
        <v/>
      </c>
      <c r="T78" s="6" t="inlineStr">
        <is>
          <t>Convert intended stake into cash equity or deferred supply payments; secure Continental supplier-approval letter for EIB</t>
        </is>
      </c>
      <c r="U78" s="6" t="inlineStr">
        <is>
          <t>Warm</t>
        </is>
      </c>
      <c r="V78" s="6" t="inlineStr">
        <is>
          <t>KM (Pascal Klein)</t>
        </is>
      </c>
      <c r="W78" s="6" t="inlineStr">
        <is>
          <t>Pyrum EQS releases; Snapshot</t>
        </is>
      </c>
    </row>
    <row r="79">
      <c r="A79" s="6" t="inlineStr">
        <is>
          <t>Archirodon Group</t>
        </is>
      </c>
      <c r="B79" s="6" t="inlineStr">
        <is>
          <t>EPC contractor / strategic</t>
        </is>
      </c>
      <c r="C79" s="6" t="inlineStr">
        <is>
          <t>Athens / Dubai</t>
        </is>
      </c>
      <c r="D79" s="6" t="inlineStr">
        <is>
          <t>ECI since Nov 2025; interest as operations partner; c.US$1.5b revenue</t>
        </is>
      </c>
      <c r="E79" s="6" t="inlineStr">
        <is>
          <t>n/a</t>
        </is>
      </c>
      <c r="F79" s="6" t="inlineStr">
        <is>
          <t>€5m to €20m</t>
        </is>
      </c>
      <c r="G79" s="6" t="inlineStr">
        <is>
          <t>Contractor equity; deferred payment</t>
        </is>
      </c>
      <c r="H79" s="6" t="inlineStr">
        <is>
          <t>Greece</t>
        </is>
      </c>
      <c r="I79" s="6" t="inlineStr">
        <is>
          <t>n/a</t>
        </is>
      </c>
      <c r="J79" s="6" t="inlineStr">
        <is>
          <t>n/a</t>
        </is>
      </c>
      <c r="K79" s="11" t="n">
        <v>4</v>
      </c>
      <c r="L79" s="11" t="n">
        <v>0</v>
      </c>
      <c r="M79" s="11" t="n">
        <v>4</v>
      </c>
      <c r="N79" s="11" t="n">
        <v>5</v>
      </c>
      <c r="O79" s="11" t="n">
        <v>3</v>
      </c>
      <c r="P79" s="11" t="n">
        <v>5</v>
      </c>
      <c r="Q79" s="11" t="n">
        <v>3</v>
      </c>
      <c r="R79" s="12">
        <f>ROUND(SUMPRODUCT(K79:Q79,Scoring_Weights!$E$5:$K$5)/Scoring_Weights!$B$12*20,0)</f>
        <v/>
      </c>
      <c r="S79" s="13">
        <f>IF(R79&gt;=Scoring_Weights!$B$15,"Tier 1",IF(R79&gt;=Scoring_Weights!$B$16,"Tier 2","Tier 3"))</f>
        <v/>
      </c>
      <c r="T79" s="6" t="inlineStr">
        <is>
          <t>Deferred EPC payment or contractor equity as quasi-mezz</t>
        </is>
      </c>
      <c r="U79" s="6" t="inlineStr">
        <is>
          <t>Warm</t>
        </is>
      </c>
      <c r="V79" s="6" t="inlineStr">
        <is>
          <t>KM</t>
        </is>
      </c>
      <c r="W79" s="6" t="inlineStr">
        <is>
          <t>Snapshot p.8</t>
        </is>
      </c>
    </row>
    <row r="80">
      <c r="A80" s="6" t="inlineStr">
        <is>
          <t>BASF (ChemCycling)</t>
        </is>
      </c>
      <c r="B80" s="6" t="inlineStr">
        <is>
          <t>Offtaker / strategic</t>
        </is>
      </c>
      <c r="C80" s="6" t="inlineStr">
        <is>
          <t>Ludwigshafen</t>
        </is>
      </c>
      <c r="D80" s="6" t="inlineStr">
        <is>
          <t>€16m equity + €25m conditional loan into Pyrum; heads of terms for Thermo Lysi oil (€515/t floor)</t>
        </is>
      </c>
      <c r="E80" s="6" t="inlineStr">
        <is>
          <t>n/a</t>
        </is>
      </c>
      <c r="F80" s="6" t="inlineStr">
        <is>
          <t>€5m to €25m</t>
        </is>
      </c>
      <c r="G80" s="6" t="inlineStr">
        <is>
          <t>Offtaker prepayment / loan</t>
        </is>
      </c>
      <c r="H80" s="6" t="inlineStr">
        <is>
          <t>Germany</t>
        </is>
      </c>
      <c r="I80" s="6" t="inlineStr">
        <is>
          <t>Direct pyrolysis precedent</t>
        </is>
      </c>
      <c r="J80" s="6" t="inlineStr">
        <is>
          <t>n/a</t>
        </is>
      </c>
      <c r="K80" s="11" t="n">
        <v>5</v>
      </c>
      <c r="L80" s="11" t="n">
        <v>0</v>
      </c>
      <c r="M80" s="11" t="n">
        <v>4</v>
      </c>
      <c r="N80" s="11" t="n">
        <v>3</v>
      </c>
      <c r="O80" s="11" t="n">
        <v>4</v>
      </c>
      <c r="P80" s="11" t="n">
        <v>4</v>
      </c>
      <c r="Q80" s="11" t="n">
        <v>2</v>
      </c>
      <c r="R80" s="12">
        <f>ROUND(SUMPRODUCT(K80:Q80,Scoring_Weights!$E$5:$K$5)/Scoring_Weights!$B$12*20,0)</f>
        <v/>
      </c>
      <c r="S80" s="13">
        <f>IF(R80&gt;=Scoring_Weights!$B$15,"Tier 1",IF(R80&gt;=Scoring_Weights!$B$16,"Tier 2","Tier 3"))</f>
        <v/>
      </c>
      <c r="T80" s="6" t="inlineStr">
        <is>
          <t>Wave 1: convert HoT into a take-or-pay with prepayment (bp / Circtec model)</t>
        </is>
      </c>
      <c r="U80" s="6" t="inlineStr">
        <is>
          <t>Warm via Pyrum</t>
        </is>
      </c>
      <c r="V80" s="6" t="inlineStr">
        <is>
          <t>Pyrum</t>
        </is>
      </c>
      <c r="W80" s="6" t="inlineStr">
        <is>
          <t>BASF press 2020; EQS</t>
        </is>
      </c>
    </row>
    <row r="81">
      <c r="A81" s="6" t="inlineStr">
        <is>
          <t>Continental / Pirelli (via Pyrum rCB framework)</t>
        </is>
      </c>
      <c r="B81" s="6" t="inlineStr">
        <is>
          <t>Offtakers</t>
        </is>
      </c>
      <c r="C81" s="6" t="inlineStr">
        <is>
          <t>Hanover / Milan</t>
        </is>
      </c>
      <c r="D81" s="6" t="inlineStr">
        <is>
          <t>Continental 10-year framework with advance payment; Pirelli long-term supply (Jul 2026)</t>
        </is>
      </c>
      <c r="E81" s="6" t="inlineStr">
        <is>
          <t>n/a</t>
        </is>
      </c>
      <c r="F81" s="6" t="inlineStr">
        <is>
          <t>€5m to €20m</t>
        </is>
      </c>
      <c r="G81" s="6" t="inlineStr">
        <is>
          <t>Advance payment / prepayment</t>
        </is>
      </c>
      <c r="H81" s="6" t="inlineStr">
        <is>
          <t>Germany / Italy</t>
        </is>
      </c>
      <c r="I81" s="6" t="inlineStr">
        <is>
          <t>Direct precedent (Continental advance to Pyrum)</t>
        </is>
      </c>
      <c r="J81" s="6" t="inlineStr">
        <is>
          <t>n/a</t>
        </is>
      </c>
      <c r="K81" s="11" t="n">
        <v>5</v>
      </c>
      <c r="L81" s="11" t="n">
        <v>0</v>
      </c>
      <c r="M81" s="11" t="n">
        <v>4</v>
      </c>
      <c r="N81" s="11" t="n">
        <v>3</v>
      </c>
      <c r="O81" s="11" t="n">
        <v>4</v>
      </c>
      <c r="P81" s="11" t="n">
        <v>4</v>
      </c>
      <c r="Q81" s="11" t="n">
        <v>2</v>
      </c>
      <c r="R81" s="12">
        <f>ROUND(SUMPRODUCT(K81:Q81,Scoring_Weights!$E$5:$K$5)/Scoring_Weights!$B$12*20,0)</f>
        <v/>
      </c>
      <c r="S81" s="13">
        <f>IF(R81&gt;=Scoring_Weights!$B$15,"Tier 1",IF(R81&gt;=Scoring_Weights!$B$16,"Tier 2","Tier 3"))</f>
        <v/>
      </c>
      <c r="T81" s="6" t="inlineStr">
        <is>
          <t>Wave 1: rCB prepayment for Line A through Pyrum</t>
        </is>
      </c>
      <c r="U81" s="6" t="inlineStr">
        <is>
          <t>Warm via Pyrum</t>
        </is>
      </c>
      <c r="V81" s="6" t="inlineStr">
        <is>
          <t>Pyrum</t>
        </is>
      </c>
      <c r="W81" s="6" t="inlineStr">
        <is>
          <t>Pyrum EQS 24-07-2026; Snapshot</t>
        </is>
      </c>
    </row>
    <row r="82">
      <c r="A82" s="6" t="inlineStr">
        <is>
          <t>Ecoelastika S.A.</t>
        </is>
      </c>
      <c r="B82" s="6" t="inlineStr">
        <is>
          <t>Statutory ELT collector</t>
        </is>
      </c>
      <c r="C82" s="6" t="inlineStr">
        <is>
          <t>Athens</t>
        </is>
      </c>
      <c r="D82" s="6" t="inlineStr">
        <is>
          <t>Pre-agreement min 20ktpa; gate fee €62/t on 11ktpa contracted</t>
        </is>
      </c>
      <c r="E82" s="6" t="inlineStr">
        <is>
          <t>n/a</t>
        </is>
      </c>
      <c r="F82" s="6" t="inlineStr">
        <is>
          <t>n/a</t>
        </is>
      </c>
      <c r="G82" s="6" t="inlineStr">
        <is>
          <t>Gate-fee contract</t>
        </is>
      </c>
      <c r="H82" s="6" t="inlineStr">
        <is>
          <t>Greece</t>
        </is>
      </c>
      <c r="I82" s="6" t="inlineStr">
        <is>
          <t>n/a</t>
        </is>
      </c>
      <c r="J82" s="6" t="inlineStr">
        <is>
          <t>n/a</t>
        </is>
      </c>
      <c r="K82" s="11" t="n">
        <v>5</v>
      </c>
      <c r="L82" s="11" t="n">
        <v>0</v>
      </c>
      <c r="M82" s="11" t="n">
        <v>5</v>
      </c>
      <c r="N82" s="11" t="n">
        <v>5</v>
      </c>
      <c r="O82" s="11" t="n">
        <v>2</v>
      </c>
      <c r="P82" s="11" t="n">
        <v>5</v>
      </c>
      <c r="Q82" s="11" t="n">
        <v>3</v>
      </c>
      <c r="R82" s="12">
        <f>ROUND(SUMPRODUCT(K82:Q82,Scoring_Weights!$E$5:$K$5)/Scoring_Weights!$B$12*20,0)</f>
        <v/>
      </c>
      <c r="S82" s="13">
        <f>IF(R82&gt;=Scoring_Weights!$B$15,"Tier 1",IF(R82&gt;=Scoring_Weights!$B$16,"Tier 2","Tier 3"))</f>
        <v/>
      </c>
      <c r="T82" s="6" t="inlineStr">
        <is>
          <t>Amendment No.2 to whole throughput is worth more than any lender conversation (every €10/t = c.€1.7m senior capacity)</t>
        </is>
      </c>
      <c r="U82" s="6" t="inlineStr">
        <is>
          <t>Warm</t>
        </is>
      </c>
      <c r="V82" s="6" t="inlineStr">
        <is>
          <t>KM</t>
        </is>
      </c>
      <c r="W82" s="6" t="inlineStr">
        <is>
          <t>PMO MoM 03-09-2026</t>
        </is>
      </c>
    </row>
  </sheetData>
  <autoFilter ref="A4:W82"/>
  <conditionalFormatting sqref="R5:R82">
    <cfRule type="colorScale" priority="1">
      <colorScale>
        <cfvo type="num" val="20"/>
        <cfvo type="num" val="55"/>
        <cfvo type="num" val="90"/>
        <color rgb="00F8CBAD"/>
        <color rgb="00FFEB9C"/>
        <color rgb="00C6EFCE"/>
      </colorScale>
    </cfRule>
  </conditionalFormatting>
  <conditionalFormatting sqref="S5:S82">
    <cfRule type="cellIs" priority="2" operator="equal" dxfId="0">
      <formula>"Tier 1"</formula>
    </cfRule>
    <cfRule type="cellIs" priority="3" operator="equal" dxfId="1">
      <formula>"Tier 2"</formula>
    </cfRule>
  </conditionalFormatting>
  <dataValidations count="1">
    <dataValidation sqref="K5:Q82" showDropDown="0" showInputMessage="0" showErrorMessage="0" allowBlank="1" type="whole" operator="between">
      <formula1>0</formula1>
      <formula2>5</formula2>
    </dataValidation>
  </dataValidations>
  <pageMargins left="0.75" right="0.75" top="1" bottom="1" header="0.5" footer="0.5"/>
</worksheet>
</file>

<file path=xl/worksheets/sheet7.xml><?xml version="1.0" encoding="utf-8"?>
<worksheet xmlns="http://schemas.openxmlformats.org/spreadsheetml/2006/main">
  <sheetPr>
    <tabColor rgb="007F7F7F"/>
    <outlinePr summaryBelow="1" summaryRight="1"/>
    <pageSetUpPr/>
  </sheetPr>
  <dimension ref="A1:O7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8" customWidth="1" min="1" max="1"/>
    <col width="24" customWidth="1" min="2" max="2"/>
    <col width="34" customWidth="1" min="3" max="3"/>
    <col width="20" customWidth="1" min="4" max="4"/>
    <col width="12" customWidth="1" min="5" max="5"/>
    <col width="44" customWidth="1" min="6" max="6"/>
    <col width="34" customWidth="1" min="7" max="7"/>
    <col width="18" customWidth="1" min="8" max="8"/>
    <col width="28" customWidth="1" min="9" max="9"/>
    <col width="26" customWidth="1" min="10" max="10"/>
    <col width="60" customWidth="1" min="11" max="11"/>
    <col width="11" customWidth="1" min="12" max="12"/>
    <col width="44" customWidth="1" min="13" max="13"/>
    <col width="8" customWidth="1" min="14" max="14"/>
    <col width="14" customWidth="1" min="15" max="15"/>
  </cols>
  <sheetData>
    <row r="1">
      <c r="A1" s="1" t="inlineStr">
        <is>
          <t>Named contacts - decision-makers, with the channel most likely to get a reply</t>
        </is>
      </c>
    </row>
    <row r="2">
      <c r="A2" s="2" t="inlineStr">
        <is>
          <t>Channel rule: warm intro &gt; published email + LinkedIn note same day &gt; LinkedIn InMail with a one-line hook &gt; conference. Emails marked 'pattern - unverified' must be verified (bounce test / mutual contact) before sending. No data was purchased.</t>
        </is>
      </c>
    </row>
    <row r="4" ht="30" customHeight="1">
      <c r="A4" s="5" t="inlineStr">
        <is>
          <t>Firm</t>
        </is>
      </c>
      <c r="B4" s="5" t="inlineStr">
        <is>
          <t>Person</t>
        </is>
      </c>
      <c r="C4" s="5" t="inlineStr">
        <is>
          <t>Title</t>
        </is>
      </c>
      <c r="D4" s="5" t="inlineStr">
        <is>
          <t>Category</t>
        </is>
      </c>
      <c r="E4" s="5" t="inlineStr">
        <is>
          <t>Target sub-fund</t>
        </is>
      </c>
      <c r="F4" s="5" t="inlineStr">
        <is>
          <t>LinkedIn URL</t>
        </is>
      </c>
      <c r="G4" s="5" t="inlineStr">
        <is>
          <t>Email</t>
        </is>
      </c>
      <c r="H4" s="5" t="inlineStr">
        <is>
          <t>Email status</t>
        </is>
      </c>
      <c r="I4" s="5" t="inlineStr">
        <is>
          <t>Warm path via</t>
        </is>
      </c>
      <c r="J4" s="5" t="inlineStr">
        <is>
          <t>Recommended channel</t>
        </is>
      </c>
      <c r="K4" s="5" t="inlineStr">
        <is>
          <t>Hook / message angle (one line)</t>
        </is>
      </c>
      <c r="L4" s="5" t="inlineStr">
        <is>
          <t>Confidence</t>
        </is>
      </c>
      <c r="M4" s="5" t="inlineStr">
        <is>
          <t>Evidence URL</t>
        </is>
      </c>
      <c r="N4" s="5" t="inlineStr">
        <is>
          <t>Owner</t>
        </is>
      </c>
      <c r="O4" s="5" t="inlineStr">
        <is>
          <t>Status</t>
        </is>
      </c>
    </row>
    <row r="5">
      <c r="A5" s="6" t="inlineStr">
        <is>
          <t>EIB - Cleantech Equity &amp; Growth Capital</t>
        </is>
      </c>
      <c r="B5" s="6" t="inlineStr">
        <is>
          <t>Alberto Casorati</t>
        </is>
      </c>
      <c r="C5" s="6" t="inlineStr">
        <is>
          <t>Cleantech Equity &amp; Growth Capital Division</t>
        </is>
      </c>
      <c r="D5" s="6" t="inlineStr">
        <is>
          <t>DFI venture debt</t>
        </is>
      </c>
      <c r="E5" s="6" t="inlineStr">
        <is>
          <t>IPL</t>
        </is>
      </c>
      <c r="F5" s="14" t="inlineStr">
        <is>
          <t>https://www.linkedin.com/search/results/people/?keywords=Alberto%20Casorati%20European%20Investment%20Bank</t>
        </is>
      </c>
      <c r="G5" s="6" t="inlineStr">
        <is>
          <t>a.casorati@eib.org</t>
        </is>
      </c>
      <c r="H5" s="6" t="inlineStr">
        <is>
          <t>published</t>
        </is>
      </c>
      <c r="I5" s="6" t="inlineStr">
        <is>
          <t>Sirec (Papageorgantas) / direct thread</t>
        </is>
      </c>
      <c r="J5" s="15">
        <f>IF(I5&lt;&gt;"","Warm intro via "&amp;I5,IF(H5="published","Email + LinkedIn note same day",IF(AND(H5="pattern - unverified",F5&lt;&gt;"not found"),"LinkedIn first; verify email then follow up",IF(F5&lt;&gt;"not found","LinkedIn InMail / connection note","Firm switchboard or conference"))))</f>
        <v/>
      </c>
      <c r="K5" s="6" t="inlineStr">
        <is>
          <t>Answer the April objection head-on: offer equity-like reward (warrant coverage 15% to 20% or a conversion right) so VD is not 'mezzanine risk without reward'</t>
        </is>
      </c>
      <c r="L5" s="6" t="inlineStr">
        <is>
          <t>High</t>
        </is>
      </c>
      <c r="M5" s="6" t="inlineStr">
        <is>
          <t>Outlook thread Feb-Apr 2026</t>
        </is>
      </c>
      <c r="N5" s="6" t="inlineStr">
        <is>
          <t>KM</t>
        </is>
      </c>
      <c r="O5" s="6" t="inlineStr">
        <is>
          <t>Not started</t>
        </is>
      </c>
    </row>
    <row r="6">
      <c r="A6" s="6" t="inlineStr">
        <is>
          <t>EIB - Cleantech Equity &amp; Growth Capital</t>
        </is>
      </c>
      <c r="B6" s="6" t="inlineStr">
        <is>
          <t>Stephan Mitrakas</t>
        </is>
      </c>
      <c r="C6" s="6" t="inlineStr">
        <is>
          <t>Investment Officer (VD team)</t>
        </is>
      </c>
      <c r="D6" s="6" t="inlineStr">
        <is>
          <t>DFI venture debt</t>
        </is>
      </c>
      <c r="E6" s="6" t="inlineStr">
        <is>
          <t>IPL</t>
        </is>
      </c>
      <c r="F6" s="14" t="inlineStr">
        <is>
          <t>https://www.linkedin.com/search/results/people/?keywords=Stephan%20Mitrakas%20European%20Investment%20Bank</t>
        </is>
      </c>
      <c r="G6" s="6" t="inlineStr">
        <is>
          <t>s.mitrakas@eib.org</t>
        </is>
      </c>
      <c r="H6" s="6" t="inlineStr">
        <is>
          <t>published</t>
        </is>
      </c>
      <c r="I6" s="6" t="inlineStr">
        <is>
          <t>Direct thread</t>
        </is>
      </c>
      <c r="J6" s="15">
        <f>IF(I6&lt;&gt;"","Warm intro via "&amp;I6,IF(H6="published","Email + LinkedIn note same day",IF(AND(H6="pattern - unverified",F6&lt;&gt;"not found"),"LinkedIn first; verify email then follow up",IF(F6&lt;&gt;"not found","LinkedIn InMail / connection note","Firm switchboard or conference"))))</f>
        <v/>
      </c>
      <c r="K6" s="6" t="inlineStr">
        <is>
          <t>Deliver the three items from the 14-09-2026 committee: Credia CP explainer, Continental supplier-approval letter, Sokolov comparison</t>
        </is>
      </c>
      <c r="L6" s="6" t="inlineStr">
        <is>
          <t>High</t>
        </is>
      </c>
      <c r="M6" s="6" t="inlineStr">
        <is>
          <t>Outlook 'EIB responses - follow up' 15-09-2026</t>
        </is>
      </c>
      <c r="N6" s="6" t="inlineStr">
        <is>
          <t>KM</t>
        </is>
      </c>
      <c r="O6" s="6" t="inlineStr">
        <is>
          <t>Not started</t>
        </is>
      </c>
    </row>
    <row r="7">
      <c r="A7" s="6" t="inlineStr">
        <is>
          <t>EIB</t>
        </is>
      </c>
      <c r="B7" s="6" t="inlineStr">
        <is>
          <t>Francois Gaudet</t>
        </is>
      </c>
      <c r="C7" s="6" t="inlineStr">
        <is>
          <t>EIB (cc on VD thread)</t>
        </is>
      </c>
      <c r="D7" s="6" t="inlineStr">
        <is>
          <t>DFI venture debt</t>
        </is>
      </c>
      <c r="E7" s="6" t="inlineStr">
        <is>
          <t>IPL</t>
        </is>
      </c>
      <c r="F7" s="14" t="inlineStr">
        <is>
          <t>https://www.linkedin.com/search/results/people/?keywords=Francois%20Gaudet%20European%20Investment%20Bank</t>
        </is>
      </c>
      <c r="G7" s="6" t="inlineStr">
        <is>
          <t>f.gaudet@eib.org</t>
        </is>
      </c>
      <c r="H7" s="6" t="inlineStr">
        <is>
          <t>published</t>
        </is>
      </c>
      <c r="I7" s="6" t="inlineStr">
        <is>
          <t>Direct thread</t>
        </is>
      </c>
      <c r="J7" s="15">
        <f>IF(I7&lt;&gt;"","Warm intro via "&amp;I7,IF(H7="published","Email + LinkedIn note same day",IF(AND(H7="pattern - unverified",F7&lt;&gt;"not found"),"LinkedIn first; verify email then follow up",IF(F7&lt;&gt;"not found","LinkedIn InMail / connection note","Firm switchboard or conference"))))</f>
        <v/>
      </c>
      <c r="K7" s="6" t="inlineStr">
        <is>
          <t>Senior sponsor inside EIB; copy on the reopened file</t>
        </is>
      </c>
      <c r="L7" s="6" t="inlineStr">
        <is>
          <t>Medium</t>
        </is>
      </c>
      <c r="M7" s="6" t="inlineStr">
        <is>
          <t>Outlook 30-04-2026 cc list</t>
        </is>
      </c>
      <c r="N7" s="6" t="inlineStr">
        <is>
          <t>KM</t>
        </is>
      </c>
      <c r="O7" s="6" t="inlineStr">
        <is>
          <t>Not started</t>
        </is>
      </c>
    </row>
    <row r="8">
      <c r="A8" s="6" t="inlineStr">
        <is>
          <t>Hellenic Innovation &amp; Infrastructure Fund (HIIF)</t>
        </is>
      </c>
      <c r="B8" s="6" t="inlineStr">
        <is>
          <t>Alexandros Vlachos</t>
        </is>
      </c>
      <c r="C8" s="6" t="inlineStr">
        <is>
          <t>Vice President, Investments</t>
        </is>
      </c>
      <c r="D8" s="6" t="inlineStr">
        <is>
          <t>Greek impact / infra investor</t>
        </is>
      </c>
      <c r="E8" s="6" t="inlineStr">
        <is>
          <t>IPL</t>
        </is>
      </c>
      <c r="F8" s="14" t="inlineStr">
        <is>
          <t>https://www.linkedin.com/search/results/people/?keywords=Alexandros%20Vlachos%20HIIF</t>
        </is>
      </c>
      <c r="G8" s="6" t="inlineStr">
        <is>
          <t>avlachos@hiif.gr</t>
        </is>
      </c>
      <c r="H8" s="6" t="inlineStr">
        <is>
          <t>published</t>
        </is>
      </c>
      <c r="I8" s="6" t="inlineStr">
        <is>
          <t>Direct thread</t>
        </is>
      </c>
      <c r="J8" s="15">
        <f>IF(I8&lt;&gt;"","Warm intro via "&amp;I8,IF(H8="published","Email + LinkedIn note same day",IF(AND(H8="pattern - unverified",F8&lt;&gt;"not found"),"LinkedIn first; verify email then follow up",IF(F8&lt;&gt;"not found","LinkedIn InMail / connection note","Firm switchboard or conference"))))</f>
        <v/>
      </c>
      <c r="K8" s="6" t="inlineStr">
        <is>
          <t>Staged commitment proposal; market-operator test framing (pari passu with Sirec equity)</t>
        </is>
      </c>
      <c r="L8" s="6" t="inlineStr">
        <is>
          <t>High</t>
        </is>
      </c>
      <c r="M8" s="6" t="inlineStr">
        <is>
          <t>Outlook 04-08-2026</t>
        </is>
      </c>
      <c r="N8" s="6" t="inlineStr">
        <is>
          <t>KM</t>
        </is>
      </c>
      <c r="O8" s="6" t="inlineStr">
        <is>
          <t>Not started</t>
        </is>
      </c>
    </row>
    <row r="9">
      <c r="A9" s="6" t="inlineStr">
        <is>
          <t>HIIF</t>
        </is>
      </c>
      <c r="B9" s="6" t="inlineStr">
        <is>
          <t>Stelios Fragos</t>
        </is>
      </c>
      <c r="C9" s="6" t="inlineStr">
        <is>
          <t>HIIF investment team</t>
        </is>
      </c>
      <c r="D9" s="6" t="inlineStr">
        <is>
          <t>Greek impact / infra investor</t>
        </is>
      </c>
      <c r="E9" s="6" t="inlineStr">
        <is>
          <t>IPL</t>
        </is>
      </c>
      <c r="F9" s="14" t="inlineStr">
        <is>
          <t>https://www.linkedin.com/search/results/people/?keywords=Stelios%20Fragos%20HIIF</t>
        </is>
      </c>
      <c r="G9" s="6" t="inlineStr">
        <is>
          <t>sfragos@hiif.gr</t>
        </is>
      </c>
      <c r="H9" s="6" t="inlineStr">
        <is>
          <t>published</t>
        </is>
      </c>
      <c r="I9" s="6" t="inlineStr">
        <is>
          <t>Direct thread</t>
        </is>
      </c>
      <c r="J9" s="15">
        <f>IF(I9&lt;&gt;"","Warm intro via "&amp;I9,IF(H9="published","Email + LinkedIn note same day",IF(AND(H9="pattern - unverified",F9&lt;&gt;"not found"),"LinkedIn first; verify email then follow up",IF(F9&lt;&gt;"not found","LinkedIn InMail / connection note","Firm switchboard or conference"))))</f>
        <v/>
      </c>
      <c r="K9" s="6" t="inlineStr">
        <is>
          <t>Same</t>
        </is>
      </c>
      <c r="L9" s="6" t="inlineStr">
        <is>
          <t>High</t>
        </is>
      </c>
      <c r="M9" s="6" t="inlineStr">
        <is>
          <t>Outlook 04-08-2026</t>
        </is>
      </c>
      <c r="N9" s="6" t="inlineStr">
        <is>
          <t>KM</t>
        </is>
      </c>
      <c r="O9" s="6" t="inlineStr">
        <is>
          <t>Not started</t>
        </is>
      </c>
    </row>
    <row r="10">
      <c r="A10" s="6" t="inlineStr">
        <is>
          <t>HIIF</t>
        </is>
      </c>
      <c r="B10" s="6" t="inlineStr">
        <is>
          <t>Andreas Giannakopoulos</t>
        </is>
      </c>
      <c r="C10" s="6" t="inlineStr">
        <is>
          <t>HIIF investment team</t>
        </is>
      </c>
      <c r="D10" s="6" t="inlineStr">
        <is>
          <t>Greek impact / infra investor</t>
        </is>
      </c>
      <c r="E10" s="6" t="inlineStr">
        <is>
          <t>IPL</t>
        </is>
      </c>
      <c r="F10" s="14" t="inlineStr">
        <is>
          <t>https://www.linkedin.com/search/results/people/?keywords=Andreas%20Giannakopoulos%20HIIF</t>
        </is>
      </c>
      <c r="G10" s="6" t="inlineStr">
        <is>
          <t>agiannakopoulos@hiif.gr</t>
        </is>
      </c>
      <c r="H10" s="6" t="inlineStr">
        <is>
          <t>published</t>
        </is>
      </c>
      <c r="I10" s="6" t="inlineStr">
        <is>
          <t>Direct thread</t>
        </is>
      </c>
      <c r="J10" s="15">
        <f>IF(I10&lt;&gt;"","Warm intro via "&amp;I10,IF(H10="published","Email + LinkedIn note same day",IF(AND(H10="pattern - unverified",F10&lt;&gt;"not found"),"LinkedIn first; verify email then follow up",IF(F10&lt;&gt;"not found","LinkedIn InMail / connection note","Firm switchboard or conference"))))</f>
        <v/>
      </c>
      <c r="K10" s="6" t="inlineStr">
        <is>
          <t>Same</t>
        </is>
      </c>
      <c r="L10" s="6" t="inlineStr">
        <is>
          <t>High</t>
        </is>
      </c>
      <c r="M10" s="6" t="inlineStr">
        <is>
          <t>Outlook 04-08-2026</t>
        </is>
      </c>
      <c r="N10" s="6" t="inlineStr">
        <is>
          <t>KM</t>
        </is>
      </c>
      <c r="O10" s="6" t="inlineStr">
        <is>
          <t>Not started</t>
        </is>
      </c>
    </row>
    <row r="11">
      <c r="A11" s="6" t="inlineStr">
        <is>
          <t>Credia Bank - Structured Finance</t>
        </is>
      </c>
      <c r="B11" s="6" t="inlineStr">
        <is>
          <t>Evangelos Mitrou</t>
        </is>
      </c>
      <c r="C11" s="6" t="inlineStr">
        <is>
          <t>Senior Relationship Manager, Structured Finance</t>
        </is>
      </c>
      <c r="D11" s="6" t="inlineStr">
        <is>
          <t>Greek bank - senior</t>
        </is>
      </c>
      <c r="E11" s="6" t="inlineStr">
        <is>
          <t>IPL</t>
        </is>
      </c>
      <c r="F11" s="14" t="inlineStr">
        <is>
          <t>https://www.linkedin.com/search/results/people/?keywords=Evangelos%20Mitrou%20Credia%20Bank</t>
        </is>
      </c>
      <c r="G11" s="6" t="inlineStr">
        <is>
          <t>mitrou.evangelos@crediabank.com</t>
        </is>
      </c>
      <c r="H11" s="6" t="inlineStr">
        <is>
          <t>published</t>
        </is>
      </c>
      <c r="I11" s="6" t="inlineStr">
        <is>
          <t>Venero (Chatzilias)</t>
        </is>
      </c>
      <c r="J11" s="15">
        <f>IF(I11&lt;&gt;"","Warm intro via "&amp;I11,IF(H11="published","Email + LinkedIn note same day",IF(AND(H11="pattern - unverified",F11&lt;&gt;"not found"),"LinkedIn first; verify email then follow up",IF(F11&lt;&gt;"not found","LinkedIn InMail / connection note","Firm switchboard or conference"))))</f>
        <v/>
      </c>
      <c r="K11" s="6" t="inlineStr">
        <is>
          <t>Firm EPC price 31-10; ask for the credit-committee calendar and the CP list in writing</t>
        </is>
      </c>
      <c r="L11" s="6" t="inlineStr">
        <is>
          <t>High</t>
        </is>
      </c>
      <c r="M11" s="6" t="inlineStr">
        <is>
          <t>Credia LOI thread Aug 2026</t>
        </is>
      </c>
      <c r="N11" s="6" t="inlineStr">
        <is>
          <t>KM / Venero</t>
        </is>
      </c>
      <c r="O11" s="6" t="inlineStr">
        <is>
          <t>Not started</t>
        </is>
      </c>
    </row>
    <row r="12">
      <c r="A12" s="6" t="inlineStr">
        <is>
          <t>Credia Bank - Structured Finance</t>
        </is>
      </c>
      <c r="B12" s="6" t="inlineStr">
        <is>
          <t>Christos Masouras</t>
        </is>
      </c>
      <c r="C12" s="6" t="inlineStr">
        <is>
          <t>Structured Finance</t>
        </is>
      </c>
      <c r="D12" s="6" t="inlineStr">
        <is>
          <t>Greek bank - senior</t>
        </is>
      </c>
      <c r="E12" s="6" t="inlineStr">
        <is>
          <t>IPL</t>
        </is>
      </c>
      <c r="F12" s="14" t="inlineStr">
        <is>
          <t>https://www.linkedin.com/search/results/people/?keywords=Christos%20Masouras%20Credia%20Bank</t>
        </is>
      </c>
      <c r="G12" s="6" t="inlineStr">
        <is>
          <t>masouras.christos@crediabank.com</t>
        </is>
      </c>
      <c r="H12" s="6" t="inlineStr">
        <is>
          <t>published</t>
        </is>
      </c>
      <c r="I12" s="6" t="inlineStr">
        <is>
          <t>Venero</t>
        </is>
      </c>
      <c r="J12" s="15">
        <f>IF(I12&lt;&gt;"","Warm intro via "&amp;I12,IF(H12="published","Email + LinkedIn note same day",IF(AND(H12="pattern - unverified",F12&lt;&gt;"not found"),"LinkedIn first; verify email then follow up",IF(F12&lt;&gt;"not found","LinkedIn InMail / connection note","Firm switchboard or conference"))))</f>
        <v/>
      </c>
      <c r="K12" s="6" t="inlineStr">
        <is>
          <t>Same</t>
        </is>
      </c>
      <c r="L12" s="6" t="inlineStr">
        <is>
          <t>High</t>
        </is>
      </c>
      <c r="M12" s="6" t="inlineStr">
        <is>
          <t>Credia LOI thread</t>
        </is>
      </c>
      <c r="N12" s="6" t="inlineStr">
        <is>
          <t>Venero</t>
        </is>
      </c>
      <c r="O12" s="6" t="inlineStr">
        <is>
          <t>Not started</t>
        </is>
      </c>
    </row>
    <row r="13">
      <c r="A13" s="6" t="inlineStr">
        <is>
          <t>Credia Bank - Structured Finance</t>
        </is>
      </c>
      <c r="B13" s="6" t="inlineStr">
        <is>
          <t>Christos Iliopoulos</t>
        </is>
      </c>
      <c r="C13" s="6" t="inlineStr">
        <is>
          <t>Structured Finance</t>
        </is>
      </c>
      <c r="D13" s="6" t="inlineStr">
        <is>
          <t>Greek bank - senior</t>
        </is>
      </c>
      <c r="E13" s="6" t="inlineStr">
        <is>
          <t>IPL</t>
        </is>
      </c>
      <c r="F13" s="14" t="inlineStr">
        <is>
          <t>https://www.linkedin.com/search/results/people/?keywords=Christos%20Iliopoulos%20Credia%20Bank</t>
        </is>
      </c>
      <c r="G13" s="6" t="inlineStr">
        <is>
          <t>iliopoulos.christos@crediabank.com</t>
        </is>
      </c>
      <c r="H13" s="6" t="inlineStr">
        <is>
          <t>published</t>
        </is>
      </c>
      <c r="I13" s="6" t="inlineStr">
        <is>
          <t>Venero</t>
        </is>
      </c>
      <c r="J13" s="15">
        <f>IF(I13&lt;&gt;"","Warm intro via "&amp;I13,IF(H13="published","Email + LinkedIn note same day",IF(AND(H13="pattern - unverified",F13&lt;&gt;"not found"),"LinkedIn first; verify email then follow up",IF(F13&lt;&gt;"not found","LinkedIn InMail / connection note","Firm switchboard or conference"))))</f>
        <v/>
      </c>
      <c r="K13" s="6" t="inlineStr">
        <is>
          <t>Same</t>
        </is>
      </c>
      <c r="L13" s="6" t="inlineStr">
        <is>
          <t>High</t>
        </is>
      </c>
      <c r="M13" s="6" t="inlineStr">
        <is>
          <t>Credia LOI thread</t>
        </is>
      </c>
      <c r="N13" s="6" t="inlineStr">
        <is>
          <t>Venero</t>
        </is>
      </c>
      <c r="O13" s="6" t="inlineStr">
        <is>
          <t>Not started</t>
        </is>
      </c>
    </row>
    <row r="14">
      <c r="A14" s="6" t="inlineStr">
        <is>
          <t>Sirec Energy</t>
        </is>
      </c>
      <c r="B14" s="6" t="inlineStr">
        <is>
          <t>George Papageorgantas</t>
        </is>
      </c>
      <c r="C14" s="6" t="inlineStr">
        <is>
          <t>Partner (advising on EIB; co-investor)</t>
        </is>
      </c>
      <c r="D14" s="6" t="inlineStr">
        <is>
          <t>Greek energy fund</t>
        </is>
      </c>
      <c r="E14" s="6" t="inlineStr">
        <is>
          <t>IPL</t>
        </is>
      </c>
      <c r="F14" s="14" t="inlineStr">
        <is>
          <t>https://www.linkedin.com/search/results/people/?keywords=George%20Papageorgantas%20Sirec%20Energy</t>
        </is>
      </c>
      <c r="G14" s="6" t="inlineStr">
        <is>
          <t>g.papageorgantas@sirecenergy.com</t>
        </is>
      </c>
      <c r="H14" s="6" t="inlineStr">
        <is>
          <t>published</t>
        </is>
      </c>
      <c r="I14" s="6" t="inlineStr">
        <is>
          <t>Direct</t>
        </is>
      </c>
      <c r="J14" s="15">
        <f>IF(I14&lt;&gt;"","Warm intro via "&amp;I14,IF(H14="published","Email + LinkedIn note same day",IF(AND(H14="pattern - unverified",F14&lt;&gt;"not found"),"LinkedIn first; verify email then follow up",IF(F14&lt;&gt;"not found","LinkedIn InMail / connection note","Firm switchboard or conference"))))</f>
        <v/>
      </c>
      <c r="K14" s="6" t="inlineStr">
        <is>
          <t>Ask for Piraeus / Eurobank PF introductions and for a Greek family-office list from Sirec's own LP base</t>
        </is>
      </c>
      <c r="L14" s="6" t="inlineStr">
        <is>
          <t>High</t>
        </is>
      </c>
      <c r="M14" s="6" t="inlineStr">
        <is>
          <t>Outlook 15-09-2026</t>
        </is>
      </c>
      <c r="N14" s="6" t="inlineStr">
        <is>
          <t>KM</t>
        </is>
      </c>
      <c r="O14" s="6" t="inlineStr">
        <is>
          <t>Not started</t>
        </is>
      </c>
    </row>
    <row r="15">
      <c r="A15" s="6" t="inlineStr">
        <is>
          <t>Sirec Energy</t>
        </is>
      </c>
      <c r="B15" s="6" t="inlineStr">
        <is>
          <t>Dionissis Alissandratos</t>
        </is>
      </c>
      <c r="C15" s="6" t="inlineStr">
        <is>
          <t>Sirec Energy</t>
        </is>
      </c>
      <c r="D15" s="6" t="inlineStr">
        <is>
          <t>Greek energy fund</t>
        </is>
      </c>
      <c r="E15" s="6" t="inlineStr">
        <is>
          <t>IPL</t>
        </is>
      </c>
      <c r="F15" s="14" t="inlineStr">
        <is>
          <t>https://www.linkedin.com/search/results/people/?keywords=Dionissis%20Alissandratos%20Sirec%20Energy</t>
        </is>
      </c>
      <c r="G15" s="6" t="inlineStr">
        <is>
          <t>d.alissandratos@sirecenergy.com</t>
        </is>
      </c>
      <c r="H15" s="6" t="inlineStr">
        <is>
          <t>published</t>
        </is>
      </c>
      <c r="I15" s="6" t="inlineStr">
        <is>
          <t>Direct</t>
        </is>
      </c>
      <c r="J15" s="15">
        <f>IF(I15&lt;&gt;"","Warm intro via "&amp;I15,IF(H15="published","Email + LinkedIn note same day",IF(AND(H15="pattern - unverified",F15&lt;&gt;"not found"),"LinkedIn first; verify email then follow up",IF(F15&lt;&gt;"not found","LinkedIn InMail / connection note","Firm switchboard or conference"))))</f>
        <v/>
      </c>
      <c r="K15" s="6" t="inlineStr">
        <is>
          <t>Same</t>
        </is>
      </c>
      <c r="L15" s="6" t="inlineStr">
        <is>
          <t>High</t>
        </is>
      </c>
      <c r="M15" s="6" t="inlineStr">
        <is>
          <t>Outlook 15-09-2026</t>
        </is>
      </c>
      <c r="N15" s="6" t="inlineStr">
        <is>
          <t>KM</t>
        </is>
      </c>
      <c r="O15" s="6" t="inlineStr">
        <is>
          <t>Not started</t>
        </is>
      </c>
    </row>
    <row r="16">
      <c r="A16" s="6" t="inlineStr">
        <is>
          <t>Venero Capital Advisors</t>
        </is>
      </c>
      <c r="B16" s="6" t="inlineStr">
        <is>
          <t>Argyris Chatzilias</t>
        </is>
      </c>
      <c r="C16" s="6" t="inlineStr">
        <is>
          <t>Debt advisor (engaged)</t>
        </is>
      </c>
      <c r="D16" s="6" t="inlineStr">
        <is>
          <t>Advisor</t>
        </is>
      </c>
      <c r="E16" s="6" t="inlineStr">
        <is>
          <t>IPL</t>
        </is>
      </c>
      <c r="F16" s="14" t="inlineStr">
        <is>
          <t>https://www.linkedin.com/search/results/people/?keywords=Argyrios%20Chatzilias%20Venero%20Capital</t>
        </is>
      </c>
      <c r="G16" s="6" t="inlineStr">
        <is>
          <t>argy@venerocapitaladvisors.com</t>
        </is>
      </c>
      <c r="H16" s="6" t="inlineStr">
        <is>
          <t>published</t>
        </is>
      </c>
      <c r="I16" s="6" t="inlineStr">
        <is>
          <t>Direct</t>
        </is>
      </c>
      <c r="J16" s="15">
        <f>IF(I16&lt;&gt;"","Warm intro via "&amp;I16,IF(H16="published","Email + LinkedIn note same day",IF(AND(H16="pattern - unverified",F16&lt;&gt;"not found"),"LinkedIn first; verify email then follow up",IF(F16&lt;&gt;"not found","LinkedIn InMail / connection note","Firm switchboard or conference"))))</f>
        <v/>
      </c>
      <c r="K16" s="6" t="inlineStr">
        <is>
          <t>Mandate: open Piraeus and one impact lender (Rivage / Eiffel / Polestar) in parallel to Credia within 30 days</t>
        </is>
      </c>
      <c r="L16" s="6" t="inlineStr">
        <is>
          <t>High</t>
        </is>
      </c>
      <c r="M16" s="6" t="inlineStr">
        <is>
          <t>Credia thread</t>
        </is>
      </c>
      <c r="N16" s="6" t="inlineStr">
        <is>
          <t>KM</t>
        </is>
      </c>
      <c r="O16" s="6" t="inlineStr">
        <is>
          <t>Not started</t>
        </is>
      </c>
    </row>
    <row r="17">
      <c r="A17" s="6" t="inlineStr">
        <is>
          <t>Venero Capital Advisors</t>
        </is>
      </c>
      <c r="B17" s="6" t="inlineStr">
        <is>
          <t>Giannos Politis</t>
        </is>
      </c>
      <c r="C17" s="6" t="inlineStr">
        <is>
          <t>Venero Capital</t>
        </is>
      </c>
      <c r="D17" s="6" t="inlineStr">
        <is>
          <t>Advisor</t>
        </is>
      </c>
      <c r="E17" s="6" t="inlineStr">
        <is>
          <t>IPL</t>
        </is>
      </c>
      <c r="F17" s="14" t="inlineStr">
        <is>
          <t>https://www.linkedin.com/search/results/people/?keywords=Giannos%20Politis%20Venero%20Capital</t>
        </is>
      </c>
      <c r="G17" s="6" t="inlineStr">
        <is>
          <t>giannos.politis@venerocapitaladvisors.com</t>
        </is>
      </c>
      <c r="H17" s="6" t="inlineStr">
        <is>
          <t>published</t>
        </is>
      </c>
      <c r="I17" s="6" t="inlineStr">
        <is>
          <t>Direct</t>
        </is>
      </c>
      <c r="J17" s="15">
        <f>IF(I17&lt;&gt;"","Warm intro via "&amp;I17,IF(H17="published","Email + LinkedIn note same day",IF(AND(H17="pattern - unverified",F17&lt;&gt;"not found"),"LinkedIn first; verify email then follow up",IF(F17&lt;&gt;"not found","LinkedIn InMail / connection note","Firm switchboard or conference"))))</f>
        <v/>
      </c>
      <c r="K17" s="6" t="inlineStr">
        <is>
          <t>Same</t>
        </is>
      </c>
      <c r="L17" s="6" t="inlineStr">
        <is>
          <t>High</t>
        </is>
      </c>
      <c r="M17" s="6" t="inlineStr">
        <is>
          <t>Credia thread</t>
        </is>
      </c>
      <c r="N17" s="6" t="inlineStr">
        <is>
          <t>KM</t>
        </is>
      </c>
      <c r="O17" s="6" t="inlineStr">
        <is>
          <t>Not started</t>
        </is>
      </c>
    </row>
    <row r="18">
      <c r="A18" s="6" t="inlineStr">
        <is>
          <t>PwC Greece (Deals)</t>
        </is>
      </c>
      <c r="B18" s="6" t="inlineStr">
        <is>
          <t>Lampros Kantounis</t>
        </is>
      </c>
      <c r="C18" s="6" t="inlineStr">
        <is>
          <t>PwC Greece - Deals (financial model)</t>
        </is>
      </c>
      <c r="D18" s="6" t="inlineStr">
        <is>
          <t>Advisor</t>
        </is>
      </c>
      <c r="E18" s="6" t="inlineStr">
        <is>
          <t>IPL</t>
        </is>
      </c>
      <c r="F18" s="14" t="inlineStr">
        <is>
          <t>https://www.linkedin.com/search/results/people/?keywords=Lampros%20Kantounis%20PwC%20Greece</t>
        </is>
      </c>
      <c r="G18" s="6" t="inlineStr">
        <is>
          <t>lampros.kantounis@pwc.com</t>
        </is>
      </c>
      <c r="H18" s="6" t="inlineStr">
        <is>
          <t>published</t>
        </is>
      </c>
      <c r="I18" s="6" t="inlineStr">
        <is>
          <t>Direct</t>
        </is>
      </c>
      <c r="J18" s="15">
        <f>IF(I18&lt;&gt;"","Warm intro via "&amp;I18,IF(H18="published","Email + LinkedIn note same day",IF(AND(H18="pattern - unverified",F18&lt;&gt;"not found"),"LinkedIn first; verify email then follow up",IF(F18&lt;&gt;"not found","LinkedIn InMail / connection note","Firm switchboard or conference"))))</f>
        <v/>
      </c>
      <c r="K18" s="6" t="inlineStr">
        <is>
          <t>Ask PwC Deals for two warm introductions to Greek PF desks (Piraeus, NBG) - they run those processes weekly</t>
        </is>
      </c>
      <c r="L18" s="6" t="inlineStr">
        <is>
          <t>High</t>
        </is>
      </c>
      <c r="M18" s="6" t="inlineStr">
        <is>
          <t>EIB thread cc list</t>
        </is>
      </c>
      <c r="N18" s="6" t="inlineStr">
        <is>
          <t>KM</t>
        </is>
      </c>
      <c r="O18" s="6" t="inlineStr">
        <is>
          <t>Not started</t>
        </is>
      </c>
    </row>
    <row r="19">
      <c r="A19" s="6" t="inlineStr">
        <is>
          <t>PwC Greece (Deals)</t>
        </is>
      </c>
      <c r="B19" s="6" t="inlineStr">
        <is>
          <t>Andreas Tsikas</t>
        </is>
      </c>
      <c r="C19" s="6" t="inlineStr">
        <is>
          <t>PwC Greece - Deals</t>
        </is>
      </c>
      <c r="D19" s="6" t="inlineStr">
        <is>
          <t>Advisor</t>
        </is>
      </c>
      <c r="E19" s="6" t="inlineStr">
        <is>
          <t>IPL</t>
        </is>
      </c>
      <c r="F19" s="14" t="inlineStr">
        <is>
          <t>https://www.linkedin.com/search/results/people/?keywords=Andreas%20Tsikas%20PwC%20Greece</t>
        </is>
      </c>
      <c r="G19" s="6" t="inlineStr">
        <is>
          <t>andreas.tsikas@pwc.com</t>
        </is>
      </c>
      <c r="H19" s="6" t="inlineStr">
        <is>
          <t>published</t>
        </is>
      </c>
      <c r="I19" s="6" t="inlineStr">
        <is>
          <t>Direct</t>
        </is>
      </c>
      <c r="J19" s="15">
        <f>IF(I19&lt;&gt;"","Warm intro via "&amp;I19,IF(H19="published","Email + LinkedIn note same day",IF(AND(H19="pattern - unverified",F19&lt;&gt;"not found"),"LinkedIn first; verify email then follow up",IF(F19&lt;&gt;"not found","LinkedIn InMail / connection note","Firm switchboard or conference"))))</f>
        <v/>
      </c>
      <c r="K19" s="6" t="inlineStr">
        <is>
          <t>Same</t>
        </is>
      </c>
      <c r="L19" s="6" t="inlineStr">
        <is>
          <t>High</t>
        </is>
      </c>
      <c r="M19" s="6" t="inlineStr">
        <is>
          <t>EIB thread cc list</t>
        </is>
      </c>
      <c r="N19" s="6" t="inlineStr">
        <is>
          <t>KM</t>
        </is>
      </c>
      <c r="O19" s="6" t="inlineStr">
        <is>
          <t>Not started</t>
        </is>
      </c>
    </row>
    <row r="20">
      <c r="A20" s="6" t="inlineStr">
        <is>
          <t>Fordoers (PMO)</t>
        </is>
      </c>
      <c r="B20" s="6" t="inlineStr">
        <is>
          <t>Yiannis Kalafatas</t>
        </is>
      </c>
      <c r="C20" s="6" t="inlineStr">
        <is>
          <t>Lead PMO; ex-Metlen Group CFO</t>
        </is>
      </c>
      <c r="D20" s="6" t="inlineStr">
        <is>
          <t>PMO</t>
        </is>
      </c>
      <c r="E20" s="6" t="inlineStr">
        <is>
          <t>IPL</t>
        </is>
      </c>
      <c r="F20" s="14" t="inlineStr">
        <is>
          <t>https://www.linkedin.com/search/results/people/?keywords=Yiannis%20Kalafatas%20Fordoers</t>
        </is>
      </c>
      <c r="G20" s="6" t="inlineStr">
        <is>
          <t>ky@fordoers-ky.com</t>
        </is>
      </c>
      <c r="H20" s="6" t="inlineStr">
        <is>
          <t>published</t>
        </is>
      </c>
      <c r="I20" s="6" t="inlineStr">
        <is>
          <t>Direct</t>
        </is>
      </c>
      <c r="J20" s="15">
        <f>IF(I20&lt;&gt;"","Warm intro via "&amp;I20,IF(H20="published","Email + LinkedIn note same day",IF(AND(H20="pattern - unverified",F20&lt;&gt;"not found"),"LinkedIn first; verify email then follow up",IF(F20&lt;&gt;"not found","LinkedIn InMail / connection note","Firm switchboard or conference"))))</f>
        <v/>
      </c>
      <c r="K20" s="6" t="inlineStr">
        <is>
          <t>Ex-Metlen CFO: ask for introductions to Metlen-era bankers and Greek infra funds; require reset end-date and budget before any external communication</t>
        </is>
      </c>
      <c r="L20" s="6" t="inlineStr">
        <is>
          <t>High</t>
        </is>
      </c>
      <c r="M20" s="6" t="inlineStr">
        <is>
          <t>Outlook 20-09-2026</t>
        </is>
      </c>
      <c r="N20" s="6" t="inlineStr">
        <is>
          <t>KM</t>
        </is>
      </c>
      <c r="O20" s="6" t="inlineStr">
        <is>
          <t>Not started</t>
        </is>
      </c>
    </row>
    <row r="21">
      <c r="A21" s="6" t="inlineStr">
        <is>
          <t>Muhanna &amp; Co (Doctors' Provident Fund; PEO consultant)</t>
        </is>
      </c>
      <c r="B21" s="6" t="inlineStr">
        <is>
          <t>Marinos Theodosiou</t>
        </is>
      </c>
      <c r="C21" s="6" t="inlineStr">
        <is>
          <t>Managing Actuary, Pension-Insurance</t>
        </is>
      </c>
      <c r="D21" s="6" t="inlineStr">
        <is>
          <t>Cyprus pension gateway</t>
        </is>
      </c>
      <c r="E21" s="6" t="inlineStr">
        <is>
          <t>IPL / PE Fund</t>
        </is>
      </c>
      <c r="F21" s="14" t="inlineStr">
        <is>
          <t>https://www.linkedin.com/search/results/people/?keywords=Marinos%20Theodosiou%20Muhanna</t>
        </is>
      </c>
      <c r="G21" s="6" t="inlineStr">
        <is>
          <t>marinos.theodosiou@muhanna.com</t>
        </is>
      </c>
      <c r="H21" s="6" t="inlineStr">
        <is>
          <t>published</t>
        </is>
      </c>
      <c r="I21" s="6" t="inlineStr">
        <is>
          <t>Direct</t>
        </is>
      </c>
      <c r="J21" s="15">
        <f>IF(I21&lt;&gt;"","Warm intro via "&amp;I21,IF(H21="published","Email + LinkedIn note same day",IF(AND(H21="pattern - unverified",F21&lt;&gt;"not found"),"LinkedIn first; verify email then follow up",IF(F21&lt;&gt;"not found","LinkedIn InMail / connection note","Firm switchboard or conference"))))</f>
        <v/>
      </c>
      <c r="K21" s="6" t="inlineStr">
        <is>
          <t>Close the EY IFRS 13 query first; then ask for introductions to the other funds Muhanna administers</t>
        </is>
      </c>
      <c r="L21" s="6" t="inlineStr">
        <is>
          <t>High</t>
        </is>
      </c>
      <c r="M21" s="6" t="inlineStr">
        <is>
          <t>Outlook 17-09-2026</t>
        </is>
      </c>
      <c r="N21" s="6" t="inlineStr">
        <is>
          <t>KM</t>
        </is>
      </c>
      <c r="O21" s="6" t="inlineStr">
        <is>
          <t>Not started</t>
        </is>
      </c>
    </row>
    <row r="22">
      <c r="A22" s="6" t="inlineStr">
        <is>
          <t>Axia Ventures Group</t>
        </is>
      </c>
      <c r="B22" s="6" t="inlineStr">
        <is>
          <t>Antonios Achilleoudis</t>
        </is>
      </c>
      <c r="C22" s="6" t="inlineStr">
        <is>
          <t>Axia Ventures</t>
        </is>
      </c>
      <c r="D22" s="6" t="inlineStr">
        <is>
          <t>Greek / Cypriot investment bank</t>
        </is>
      </c>
      <c r="E22" s="6" t="inlineStr">
        <is>
          <t>IVP / IPL</t>
        </is>
      </c>
      <c r="F22" s="14" t="inlineStr">
        <is>
          <t>https://www.linkedin.com/search/results/people/?keywords=Antonios%20Achilleoudis%20Axia%20Ventures</t>
        </is>
      </c>
      <c r="G22" s="6" t="inlineStr">
        <is>
          <t>antonios@axiavg.com</t>
        </is>
      </c>
      <c r="H22" s="6" t="inlineStr">
        <is>
          <t>published</t>
        </is>
      </c>
      <c r="I22" s="6" t="inlineStr">
        <is>
          <t>AM</t>
        </is>
      </c>
      <c r="J22" s="15">
        <f>IF(I22&lt;&gt;"","Warm intro via "&amp;I22,IF(H22="published","Email + LinkedIn note same day",IF(AND(H22="pattern - unverified",F22&lt;&gt;"not found"),"LinkedIn first; verify email then follow up",IF(F22&lt;&gt;"not found","LinkedIn InMail / connection note","Firm switchboard or conference"))))</f>
        <v/>
      </c>
      <c r="K22" s="6" t="inlineStr">
        <is>
          <t>Propose a targeted Greek family-office process (Laskaridis, Martinos, Latsis, Vardinogiannis) for IVP on success fee</t>
        </is>
      </c>
      <c r="L22" s="6" t="inlineStr">
        <is>
          <t>High</t>
        </is>
      </c>
      <c r="M22" s="6" t="inlineStr">
        <is>
          <t>Outlook 24-06-2026</t>
        </is>
      </c>
      <c r="N22" s="6" t="inlineStr">
        <is>
          <t>AM</t>
        </is>
      </c>
      <c r="O22" s="6" t="inlineStr">
        <is>
          <t>Not started</t>
        </is>
      </c>
    </row>
    <row r="23">
      <c r="A23" s="6" t="inlineStr">
        <is>
          <t>J. Safra Sarasin</t>
        </is>
      </c>
      <c r="B23" s="6" t="inlineStr">
        <is>
          <t>Rachel Koen</t>
        </is>
      </c>
      <c r="C23" s="6" t="inlineStr">
        <is>
          <t>J. Safra Sarasin (Cyprus)</t>
        </is>
      </c>
      <c r="D23" s="6" t="inlineStr">
        <is>
          <t>Private bank</t>
        </is>
      </c>
      <c r="E23" s="6" t="inlineStr">
        <is>
          <t>IVP / PE Fund</t>
        </is>
      </c>
      <c r="F23" s="14" t="inlineStr">
        <is>
          <t>https://www.linkedin.com/search/results/people/?keywords=Rachel%20Koen%20J.%20Safra%20Sarasin</t>
        </is>
      </c>
      <c r="G23" s="6" t="inlineStr">
        <is>
          <t>rachel.koen@jsafrasarasin.com</t>
        </is>
      </c>
      <c r="H23" s="6" t="inlineStr">
        <is>
          <t>published</t>
        </is>
      </c>
      <c r="I23" s="6" t="inlineStr">
        <is>
          <t>AM</t>
        </is>
      </c>
      <c r="J23" s="15">
        <f>IF(I23&lt;&gt;"","Warm intro via "&amp;I23,IF(H23="published","Email + LinkedIn note same day",IF(AND(H23="pattern - unverified",F23&lt;&gt;"not found"),"LinkedIn first; verify email then follow up",IF(F23&lt;&gt;"not found","LinkedIn InMail / connection note","Firm switchboard or conference"))))</f>
        <v/>
      </c>
      <c r="K23" s="6" t="inlineStr">
        <is>
          <t>Follow up on IVP with the investment analysis director; ask about a private-client note placement</t>
        </is>
      </c>
      <c r="L23" s="6" t="inlineStr">
        <is>
          <t>High</t>
        </is>
      </c>
      <c r="M23" s="6" t="inlineStr">
        <is>
          <t>Outlook 15-05-2026</t>
        </is>
      </c>
      <c r="N23" s="6" t="inlineStr">
        <is>
          <t>AM</t>
        </is>
      </c>
      <c r="O23" s="6" t="inlineStr">
        <is>
          <t>Not started</t>
        </is>
      </c>
    </row>
    <row r="24">
      <c r="A24" s="6" t="inlineStr">
        <is>
          <t>McMillan Woods Cyprus</t>
        </is>
      </c>
      <c r="B24" s="6" t="inlineStr">
        <is>
          <t>Angelo (surname not in record)</t>
        </is>
      </c>
      <c r="C24" s="6" t="inlineStr">
        <is>
          <t>McMillan Woods</t>
        </is>
      </c>
      <c r="D24" s="6" t="inlineStr">
        <is>
          <t>Cyprus adviser / introducer</t>
        </is>
      </c>
      <c r="E24" s="6" t="inlineStr">
        <is>
          <t>PE Fund</t>
        </is>
      </c>
      <c r="F24" s="6" t="inlineStr">
        <is>
          <t>not found</t>
        </is>
      </c>
      <c r="G24" s="6" t="inlineStr">
        <is>
          <t>angelo@mcmillanwoods.com.cy</t>
        </is>
      </c>
      <c r="H24" s="6" t="inlineStr">
        <is>
          <t>published</t>
        </is>
      </c>
      <c r="I24" s="6" t="inlineStr">
        <is>
          <t>Rachel Koen (Safra)</t>
        </is>
      </c>
      <c r="J24" s="15">
        <f>IF(I24&lt;&gt;"","Warm intro via "&amp;I24,IF(H24="published","Email + LinkedIn note same day",IF(AND(H24="pattern - unverified",F24&lt;&gt;"not found"),"LinkedIn first; verify email then follow up",IF(F24&lt;&gt;"not found","LinkedIn InMail / connection note","Firm switchboard or conference"))))</f>
        <v/>
      </c>
      <c r="K24" s="6" t="inlineStr">
        <is>
          <t>Office visit invitation already extended (Jul 2026)</t>
        </is>
      </c>
      <c r="L24" s="6" t="inlineStr">
        <is>
          <t>Medium</t>
        </is>
      </c>
      <c r="M24" s="6" t="inlineStr">
        <is>
          <t>Outlook 08-07-2026</t>
        </is>
      </c>
      <c r="N24" s="6" t="inlineStr">
        <is>
          <t>AM</t>
        </is>
      </c>
      <c r="O24" s="6" t="inlineStr">
        <is>
          <t>Not started</t>
        </is>
      </c>
    </row>
    <row r="25">
      <c r="A25" s="6" t="inlineStr">
        <is>
          <t>Pollux Partners (Cyprus)</t>
        </is>
      </c>
      <c r="B25" s="6" t="inlineStr">
        <is>
          <t>Stefanos (surname not in record)</t>
        </is>
      </c>
      <c r="C25" s="6" t="inlineStr">
        <is>
          <t>Pollux Partners - DD on behalf of an investor</t>
        </is>
      </c>
      <c r="D25" s="6" t="inlineStr">
        <is>
          <t>Cyprus adviser</t>
        </is>
      </c>
      <c r="E25" s="6" t="inlineStr">
        <is>
          <t>IPL</t>
        </is>
      </c>
      <c r="F25" s="6" t="inlineStr">
        <is>
          <t>not found</t>
        </is>
      </c>
      <c r="G25" s="6" t="inlineStr">
        <is>
          <t>stefanos@polluxpartners.com.cy</t>
        </is>
      </c>
      <c r="H25" s="6" t="inlineStr">
        <is>
          <t>published</t>
        </is>
      </c>
      <c r="I25" s="6" t="inlineStr">
        <is>
          <t>Direct</t>
        </is>
      </c>
      <c r="J25" s="15">
        <f>IF(I25&lt;&gt;"","Warm intro via "&amp;I25,IF(H25="published","Email + LinkedIn note same day",IF(AND(H25="pattern - unverified",F25&lt;&gt;"not found"),"LinkedIn first; verify email then follow up",IF(F25&lt;&gt;"not found","LinkedIn InMail / connection note","Firm switchboard or conference"))))</f>
        <v/>
      </c>
      <c r="K25" s="6" t="inlineStr">
        <is>
          <t>Answered DD questions Jul 2026; ask which investor and what closes them</t>
        </is>
      </c>
      <c r="L25" s="6" t="inlineStr">
        <is>
          <t>Medium</t>
        </is>
      </c>
      <c r="M25" s="6" t="inlineStr">
        <is>
          <t>Outlook 03-07-2026</t>
        </is>
      </c>
      <c r="N25" s="6" t="inlineStr">
        <is>
          <t>KM</t>
        </is>
      </c>
      <c r="O25" s="6" t="inlineStr">
        <is>
          <t>Not started</t>
        </is>
      </c>
    </row>
    <row r="26">
      <c r="A26" s="6" t="inlineStr">
        <is>
          <t>Base Element / GAIN Venture Studios</t>
        </is>
      </c>
      <c r="B26" s="6" t="inlineStr">
        <is>
          <t>Antonis Neocleous; George Iacovou</t>
        </is>
      </c>
      <c r="C26" s="6" t="inlineStr">
        <is>
          <t>Directors</t>
        </is>
      </c>
      <c r="D26" s="6" t="inlineStr">
        <is>
          <t>Cyprus introducers / investors</t>
        </is>
      </c>
      <c r="E26" s="6" t="inlineStr">
        <is>
          <t>IPL / CPEF</t>
        </is>
      </c>
      <c r="F26" s="6" t="inlineStr">
        <is>
          <t>not found</t>
        </is>
      </c>
      <c r="G26" s="6" t="inlineStr">
        <is>
          <t>antonis.neocleous@gainventurestudios.com; george.iacovou@baseelement.digital</t>
        </is>
      </c>
      <c r="H26" s="6" t="inlineStr">
        <is>
          <t>published</t>
        </is>
      </c>
      <c r="I26" s="6" t="inlineStr">
        <is>
          <t>CE</t>
        </is>
      </c>
      <c r="J26" s="15">
        <f>IF(I26&lt;&gt;"","Warm intro via "&amp;I26,IF(H26="published","Email + LinkedIn note same day",IF(AND(H26="pattern - unverified",F26&lt;&gt;"not found"),"LinkedIn first; verify email then follow up",IF(F26&lt;&gt;"not found","LinkedIn InMail / connection note","Firm switchboard or conference"))))</f>
        <v/>
      </c>
      <c r="K26" s="6" t="inlineStr">
        <is>
          <t>George Iacovou €50k CPEF note; 'possible future project' Sep 2026</t>
        </is>
      </c>
      <c r="L26" s="6" t="inlineStr">
        <is>
          <t>Medium</t>
        </is>
      </c>
      <c r="M26" s="6" t="inlineStr">
        <is>
          <t>Outlook Jul-Sep 2026</t>
        </is>
      </c>
      <c r="N26" s="6" t="inlineStr">
        <is>
          <t>CE</t>
        </is>
      </c>
      <c r="O26" s="6" t="inlineStr">
        <is>
          <t>Not started</t>
        </is>
      </c>
    </row>
    <row r="27">
      <c r="A27" s="6" t="inlineStr">
        <is>
          <t>IDN - Infrastructure Deal Network</t>
        </is>
      </c>
      <c r="B27" s="6" t="inlineStr">
        <is>
          <t>Enrico Cattabiani</t>
        </is>
      </c>
      <c r="C27" s="6" t="inlineStr">
        <is>
          <t>Founder &amp; CEO</t>
        </is>
      </c>
      <c r="D27" s="6" t="inlineStr">
        <is>
          <t>Infrastructure deal network</t>
        </is>
      </c>
      <c r="E27" s="6" t="inlineStr">
        <is>
          <t>IVP</t>
        </is>
      </c>
      <c r="F27" s="14" t="inlineStr">
        <is>
          <t>https://www.linkedin.com/search/results/people/?keywords=Enrico%20Cattabiani%20IDN</t>
        </is>
      </c>
      <c r="G27" s="6" t="inlineStr">
        <is>
          <t>ecattabiani@idn.ltd</t>
        </is>
      </c>
      <c r="H27" s="6" t="inlineStr">
        <is>
          <t>published</t>
        </is>
      </c>
      <c r="I27" s="6" t="inlineStr">
        <is>
          <t>Direct</t>
        </is>
      </c>
      <c r="J27" s="15">
        <f>IF(I27&lt;&gt;"","Warm intro via "&amp;I27,IF(H27="published","Email + LinkedIn note same day",IF(AND(H27="pattern - unverified",F27&lt;&gt;"not found"),"LinkedIn first; verify email then follow up",IF(F27&lt;&gt;"not found","LinkedIn InMail / connection note","Firm switchboard or conference"))))</f>
        <v/>
      </c>
      <c r="K27" s="6" t="inlineStr">
        <is>
          <t>Send Sep 2026 snapshot; ask for the two most relevant infra credit funds on the IDN platform</t>
        </is>
      </c>
      <c r="L27" s="6" t="inlineStr">
        <is>
          <t>High</t>
        </is>
      </c>
      <c r="M27" s="6" t="inlineStr">
        <is>
          <t>Outlook 03-09-2026</t>
        </is>
      </c>
      <c r="N27" s="6" t="inlineStr">
        <is>
          <t>KM</t>
        </is>
      </c>
      <c r="O27" s="6" t="inlineStr">
        <is>
          <t>Not started</t>
        </is>
      </c>
    </row>
    <row r="28">
      <c r="A28" s="6" t="inlineStr">
        <is>
          <t>cytaxaudit</t>
        </is>
      </c>
      <c r="B28" s="6" t="inlineStr">
        <is>
          <t>Marios Constantinou</t>
        </is>
      </c>
      <c r="C28" s="6" t="inlineStr">
        <is>
          <t>Investor - CPEF note (€150k+)</t>
        </is>
      </c>
      <c r="D28" s="6" t="inlineStr">
        <is>
          <t>Private investor</t>
        </is>
      </c>
      <c r="E28" s="6" t="inlineStr">
        <is>
          <t>CPEF</t>
        </is>
      </c>
      <c r="F28" s="6" t="inlineStr">
        <is>
          <t>not found</t>
        </is>
      </c>
      <c r="G28" s="6" t="inlineStr">
        <is>
          <t>marios.constantinou@cytaxaudit.com</t>
        </is>
      </c>
      <c r="H28" s="6" t="inlineStr">
        <is>
          <t>published</t>
        </is>
      </c>
      <c r="I28" s="6" t="inlineStr">
        <is>
          <t>Direct</t>
        </is>
      </c>
      <c r="J28" s="15">
        <f>IF(I28&lt;&gt;"","Warm intro via "&amp;I28,IF(H28="published","Email + LinkedIn note same day",IF(AND(H28="pattern - unverified",F28&lt;&gt;"not found"),"LinkedIn first; verify email then follow up",IF(F28&lt;&gt;"not found","LinkedIn InMail / connection note","Firm switchboard or conference"))))</f>
        <v/>
      </c>
      <c r="K28" s="6" t="inlineStr">
        <is>
          <t>Ask for two referrals from his client base</t>
        </is>
      </c>
      <c r="L28" s="6" t="inlineStr">
        <is>
          <t>High</t>
        </is>
      </c>
      <c r="M28" s="6" t="inlineStr">
        <is>
          <t>Outlook Aug 2026</t>
        </is>
      </c>
      <c r="N28" s="6" t="inlineStr">
        <is>
          <t>MI</t>
        </is>
      </c>
      <c r="O28" s="6" t="inlineStr">
        <is>
          <t>Not started</t>
        </is>
      </c>
    </row>
    <row r="29">
      <c r="A29" s="6" t="inlineStr">
        <is>
          <t>Pyrum Innovations AG</t>
        </is>
      </c>
      <c r="B29" s="6" t="inlineStr">
        <is>
          <t>Pascal Klein</t>
        </is>
      </c>
      <c r="C29" s="6" t="inlineStr">
        <is>
          <t>CEO</t>
        </is>
      </c>
      <c r="D29" s="6" t="inlineStr">
        <is>
          <t>Technology provider / strategic</t>
        </is>
      </c>
      <c r="E29" s="6" t="inlineStr">
        <is>
          <t>IPL / IVP</t>
        </is>
      </c>
      <c r="F29" s="14" t="inlineStr">
        <is>
          <t>https://www.linkedin.com/search/results/people/?keywords=Pascal%20Klein%20Pyrum%20Innovations</t>
        </is>
      </c>
      <c r="G29" s="6" t="inlineStr">
        <is>
          <t>not found</t>
        </is>
      </c>
      <c r="H29" s="6" t="inlineStr">
        <is>
          <t>not found</t>
        </is>
      </c>
      <c r="I29" s="6" t="inlineStr">
        <is>
          <t>Direct (KM relationship)</t>
        </is>
      </c>
      <c r="J29" s="15">
        <f>IF(I29&lt;&gt;"","Warm intro via "&amp;I29,IF(H29="published","Email + LinkedIn note same day",IF(AND(H29="pattern - unverified",F29&lt;&gt;"not found"),"LinkedIn first; verify email then follow up",IF(F29&lt;&gt;"not found","LinkedIn InMail / connection note","Firm switchboard or conference"))))</f>
        <v/>
      </c>
      <c r="K29" s="6" t="inlineStr">
        <is>
          <t>Continental supplier-approval letter for EIB; BASF loan precedent; convert intended ≥10% stake into cash</t>
        </is>
      </c>
      <c r="L29" s="6" t="inlineStr">
        <is>
          <t>High</t>
        </is>
      </c>
      <c r="M29" s="6" t="inlineStr">
        <is>
          <t>Investor tracker; Pyrum EQS</t>
        </is>
      </c>
      <c r="N29" s="6" t="inlineStr">
        <is>
          <t>KM</t>
        </is>
      </c>
      <c r="O29" s="6" t="inlineStr">
        <is>
          <t>Not started</t>
        </is>
      </c>
    </row>
    <row r="30">
      <c r="A30" s="6" t="inlineStr">
        <is>
          <t>KPMG Cyprus</t>
        </is>
      </c>
      <c r="B30" s="6" t="inlineStr">
        <is>
          <t>Christos Vasiliou</t>
        </is>
      </c>
      <c r="C30" s="6" t="inlineStr">
        <is>
          <t>KPMG Cyprus (placement mandate)</t>
        </is>
      </c>
      <c r="D30" s="6" t="inlineStr">
        <is>
          <t>Adviser</t>
        </is>
      </c>
      <c r="E30" s="6" t="inlineStr">
        <is>
          <t>IVP</t>
        </is>
      </c>
      <c r="F30" s="14" t="inlineStr">
        <is>
          <t>https://www.linkedin.com/search/results/people/?keywords=Christos%20Vasiliou%20KPMG%20Cyprus</t>
        </is>
      </c>
      <c r="G30" s="6" t="inlineStr">
        <is>
          <t>not found</t>
        </is>
      </c>
      <c r="H30" s="6" t="inlineStr">
        <is>
          <t>pattern - unverified</t>
        </is>
      </c>
      <c r="I30" s="6" t="inlineStr">
        <is>
          <t>AM</t>
        </is>
      </c>
      <c r="J30" s="15">
        <f>IF(I30&lt;&gt;"","Warm intro via "&amp;I30,IF(H30="published","Email + LinkedIn note same day",IF(AND(H30="pattern - unverified",F30&lt;&gt;"not found"),"LinkedIn first; verify email then follow up",IF(F30&lt;&gt;"not found","LinkedIn InMail / connection note","Firm switchboard or conference"))))</f>
        <v/>
      </c>
      <c r="K30" s="6" t="inlineStr">
        <is>
          <t>Named target list and 90-day plan; KPMG Sweden follow-up</t>
        </is>
      </c>
      <c r="L30" s="6" t="inlineStr">
        <is>
          <t>High</t>
        </is>
      </c>
      <c r="M30" s="6" t="inlineStr">
        <is>
          <t>Investor tracker</t>
        </is>
      </c>
      <c r="N30" s="6" t="inlineStr">
        <is>
          <t>AM</t>
        </is>
      </c>
      <c r="O30" s="6" t="inlineStr">
        <is>
          <t>Not started</t>
        </is>
      </c>
    </row>
    <row r="31">
      <c r="A31" s="6" t="inlineStr">
        <is>
          <t>Alpha Bank Wealth Management Greece</t>
        </is>
      </c>
      <c r="B31" s="6" t="inlineStr">
        <is>
          <t>Miltos Michailas</t>
        </is>
      </c>
      <c r="C31" s="6" t="inlineStr">
        <is>
          <t>Alpha Bank Wealth Management</t>
        </is>
      </c>
      <c r="D31" s="6" t="inlineStr">
        <is>
          <t>Greek bank distribution</t>
        </is>
      </c>
      <c r="E31" s="6" t="inlineStr">
        <is>
          <t>PE Fund / CPEF / IPL</t>
        </is>
      </c>
      <c r="F31" s="14" t="inlineStr">
        <is>
          <t>https://www.linkedin.com/search/results/people/?keywords=Miltos%20Michailas%20Alpha%20Bank</t>
        </is>
      </c>
      <c r="G31" s="6" t="inlineStr">
        <is>
          <t>not found</t>
        </is>
      </c>
      <c r="H31" s="6" t="inlineStr">
        <is>
          <t>pattern - unverified</t>
        </is>
      </c>
      <c r="I31" s="6" t="inlineStr">
        <is>
          <t>AM</t>
        </is>
      </c>
      <c r="J31" s="15">
        <f>IF(I31&lt;&gt;"","Warm intro via "&amp;I31,IF(H31="published","Email + LinkedIn note same day",IF(AND(H31="pattern - unverified",F31&lt;&gt;"not found"),"LinkedIn first; verify email then follow up",IF(F31&lt;&gt;"not found","LinkedIn InMail / connection note","Firm switchboard or conference"))))</f>
        <v/>
      </c>
      <c r="K31" s="6" t="inlineStr">
        <is>
          <t>Distribution arrangement for professional clients; introduce PF desk</t>
        </is>
      </c>
      <c r="L31" s="6" t="inlineStr">
        <is>
          <t>High</t>
        </is>
      </c>
      <c r="M31" s="6" t="inlineStr">
        <is>
          <t>Outlook 09-09-2026; tracker</t>
        </is>
      </c>
      <c r="N31" s="6" t="inlineStr">
        <is>
          <t>AM</t>
        </is>
      </c>
      <c r="O31" s="6" t="inlineStr">
        <is>
          <t>Not started</t>
        </is>
      </c>
    </row>
    <row r="32">
      <c r="A32" s="6" t="inlineStr">
        <is>
          <t>AstroBank</t>
        </is>
      </c>
      <c r="B32" s="6" t="inlineStr">
        <is>
          <t>Charis Kynigou</t>
        </is>
      </c>
      <c r="C32" s="6" t="inlineStr">
        <is>
          <t>AstroBank (investor contact)</t>
        </is>
      </c>
      <c r="D32" s="6" t="inlineStr">
        <is>
          <t>Cyprus bank / investor</t>
        </is>
      </c>
      <c r="E32" s="6" t="inlineStr">
        <is>
          <t>IPL</t>
        </is>
      </c>
      <c r="F32" s="14" t="inlineStr">
        <is>
          <t>https://www.linkedin.com/search/results/people/?keywords=Charis%20Kynigou%20AstroBank</t>
        </is>
      </c>
      <c r="G32" s="6" t="inlineStr">
        <is>
          <t>not found</t>
        </is>
      </c>
      <c r="H32" s="6" t="inlineStr">
        <is>
          <t>pattern - unverified</t>
        </is>
      </c>
      <c r="I32" s="6" t="inlineStr">
        <is>
          <t>AM</t>
        </is>
      </c>
      <c r="J32" s="15">
        <f>IF(I32&lt;&gt;"","Warm intro via "&amp;I32,IF(H32="published","Email + LinkedIn note same day",IF(AND(H32="pattern - unverified",F32&lt;&gt;"not found"),"LinkedIn first; verify email then follow up",IF(F32&lt;&gt;"not found","LinkedIn InMail / connection note","Firm switchboard or conference"))))</f>
        <v/>
      </c>
      <c r="K32" s="6" t="inlineStr">
        <is>
          <t>Additional €500k discussed; Sep 2026 pack</t>
        </is>
      </c>
      <c r="L32" s="6" t="inlineStr">
        <is>
          <t>High</t>
        </is>
      </c>
      <c r="M32" s="6" t="inlineStr">
        <is>
          <t>Investor tracker</t>
        </is>
      </c>
      <c r="N32" s="6" t="inlineStr">
        <is>
          <t>AM</t>
        </is>
      </c>
      <c r="O32" s="6" t="inlineStr">
        <is>
          <t>Not started</t>
        </is>
      </c>
    </row>
    <row r="33">
      <c r="A33" s="6" t="inlineStr">
        <is>
          <t>Elikonos Capital Partners</t>
        </is>
      </c>
      <c r="B33" s="6" t="inlineStr">
        <is>
          <t>Takis (Pantelis) Solomos</t>
        </is>
      </c>
      <c r="C33" s="6" t="inlineStr">
        <is>
          <t>Partner</t>
        </is>
      </c>
      <c r="D33" s="6" t="inlineStr">
        <is>
          <t>Greek lower-mid credit / equity</t>
        </is>
      </c>
      <c r="E33" s="6" t="inlineStr">
        <is>
          <t>CPEF / IPL</t>
        </is>
      </c>
      <c r="F33" s="14" t="inlineStr">
        <is>
          <t>https://www.linkedin.com/search/results/people/?keywords=Takis%20Solomos%20Elikonos</t>
        </is>
      </c>
      <c r="G33" s="6" t="inlineStr">
        <is>
          <t>not found</t>
        </is>
      </c>
      <c r="H33" s="6" t="inlineStr">
        <is>
          <t>pattern - unverified</t>
        </is>
      </c>
      <c r="I33" s="6" t="inlineStr">
        <is>
          <t>AM (in tracker as 'Pantelis Solomis')</t>
        </is>
      </c>
      <c r="J33" s="15">
        <f>IF(I33&lt;&gt;"","Warm intro via "&amp;I33,IF(H33="published","Email + LinkedIn note same day",IF(AND(H33="pattern - unverified",F33&lt;&gt;"not found"),"LinkedIn first; verify email then follow up",IF(F33&lt;&gt;"not found","LinkedIn InMail / connection note","Firm switchboard or conference"))))</f>
        <v/>
      </c>
      <c r="K33" s="6" t="inlineStr">
        <is>
          <t>Elikonos 3 (EIF / HDBI / EBRD LPs): Curity growth facility at EBITDA-positive; IPL holdco hybrid</t>
        </is>
      </c>
      <c r="L33" s="6" t="inlineStr">
        <is>
          <t>Medium</t>
        </is>
      </c>
      <c r="M33" s="6" t="inlineStr">
        <is>
          <t>Investor tracker; elikonos.com</t>
        </is>
      </c>
      <c r="N33" s="6" t="inlineStr">
        <is>
          <t>AM</t>
        </is>
      </c>
      <c r="O33" s="6" t="inlineStr">
        <is>
          <t>Not started</t>
        </is>
      </c>
    </row>
    <row r="34">
      <c r="A34" s="6" t="inlineStr">
        <is>
          <t>ELPEN family office</t>
        </is>
      </c>
      <c r="B34" s="6" t="inlineStr">
        <is>
          <t>via DP</t>
        </is>
      </c>
      <c r="C34" s="6" t="inlineStr">
        <is>
          <t>ELPEN (Greek pharma)</t>
        </is>
      </c>
      <c r="D34" s="6" t="inlineStr">
        <is>
          <t>Family office</t>
        </is>
      </c>
      <c r="E34" s="6" t="inlineStr">
        <is>
          <t>CPEF / IPL</t>
        </is>
      </c>
      <c r="F34" s="6" t="inlineStr">
        <is>
          <t>not found</t>
        </is>
      </c>
      <c r="G34" s="6" t="inlineStr">
        <is>
          <t>not found</t>
        </is>
      </c>
      <c r="H34" s="6" t="inlineStr">
        <is>
          <t>not found</t>
        </is>
      </c>
      <c r="I34" s="6" t="inlineStr">
        <is>
          <t>DP</t>
        </is>
      </c>
      <c r="J34" s="15">
        <f>IF(I34&lt;&gt;"","Warm intro via "&amp;I34,IF(H34="published","Email + LinkedIn note same day",IF(AND(H34="pattern - unverified",F34&lt;&gt;"not found"),"LinkedIn first; verify email then follow up",IF(F34&lt;&gt;"not found","LinkedIn InMail / connection note","Firm switchboard or conference"))))</f>
        <v/>
      </c>
      <c r="K34" s="6" t="inlineStr">
        <is>
          <t>€500k CPEF + €500k IPL discussed Apr 2026 - natural strategic for Curity</t>
        </is>
      </c>
      <c r="L34" s="6" t="inlineStr">
        <is>
          <t>Medium</t>
        </is>
      </c>
      <c r="M34" s="6" t="inlineStr">
        <is>
          <t>Investor tracker 17-04-2026</t>
        </is>
      </c>
      <c r="N34" s="6" t="inlineStr">
        <is>
          <t>DP</t>
        </is>
      </c>
      <c r="O34" s="6" t="inlineStr">
        <is>
          <t>Not started</t>
        </is>
      </c>
    </row>
    <row r="35">
      <c r="A35" s="6" t="inlineStr">
        <is>
          <t>Argus Management Ltd</t>
        </is>
      </c>
      <c r="B35" s="6" t="inlineStr">
        <is>
          <t>Christos Akkelides</t>
        </is>
      </c>
      <c r="C35" s="6" t="inlineStr">
        <is>
          <t>Argus (AIFM) - provident fund channel</t>
        </is>
      </c>
      <c r="D35" s="6" t="inlineStr">
        <is>
          <t>AIFM / distributor</t>
        </is>
      </c>
      <c r="E35" s="6" t="inlineStr">
        <is>
          <t>IPL / IVP / PE Fund</t>
        </is>
      </c>
      <c r="F35" s="14" t="inlineStr">
        <is>
          <t>https://www.linkedin.com/search/results/people/?keywords=Christos%20Akkelides%20Argus%20Management</t>
        </is>
      </c>
      <c r="G35" s="6" t="inlineStr">
        <is>
          <t>not found</t>
        </is>
      </c>
      <c r="H35" s="6" t="inlineStr">
        <is>
          <t>pattern - unverified</t>
        </is>
      </c>
      <c r="I35" s="6" t="inlineStr">
        <is>
          <t>AM</t>
        </is>
      </c>
      <c r="J35" s="15">
        <f>IF(I35&lt;&gt;"","Warm intro via "&amp;I35,IF(H35="published","Email + LinkedIn note same day",IF(AND(H35="pattern - unverified",F35&lt;&gt;"not found"),"LinkedIn first; verify email then follow up",IF(F35&lt;&gt;"not found","LinkedIn InMail / connection note","Firm switchboard or conference"))))</f>
        <v/>
      </c>
      <c r="K35" s="6" t="inlineStr">
        <is>
          <t>ETYK / PEO IC presentations; JP Morgan / Blackstone / Schroders IVP interest</t>
        </is>
      </c>
      <c r="L35" s="6" t="inlineStr">
        <is>
          <t>High</t>
        </is>
      </c>
      <c r="M35" s="6" t="inlineStr">
        <is>
          <t>Investor tracker</t>
        </is>
      </c>
      <c r="N35" s="6" t="inlineStr">
        <is>
          <t>AM</t>
        </is>
      </c>
      <c r="O35" s="6" t="inlineStr">
        <is>
          <t>Not started</t>
        </is>
      </c>
    </row>
    <row r="36">
      <c r="A36" s="6" t="inlineStr">
        <is>
          <t>Antin Infrastructure Partners</t>
        </is>
      </c>
      <c r="B36" s="6" t="inlineStr">
        <is>
          <t>via Argus</t>
        </is>
      </c>
      <c r="C36" s="6" t="inlineStr">
        <is>
          <t>Infrastructure GP (Infiniteria)</t>
        </is>
      </c>
      <c r="D36" s="6" t="inlineStr">
        <is>
          <t>Infra equity</t>
        </is>
      </c>
      <c r="E36" s="6" t="inlineStr">
        <is>
          <t>IVP</t>
        </is>
      </c>
      <c r="F36" s="6" t="inlineStr">
        <is>
          <t>not found</t>
        </is>
      </c>
      <c r="G36" s="6" t="inlineStr">
        <is>
          <t>not found</t>
        </is>
      </c>
      <c r="H36" s="6" t="inlineStr">
        <is>
          <t>not found</t>
        </is>
      </c>
      <c r="I36" s="6" t="inlineStr">
        <is>
          <t>Argus</t>
        </is>
      </c>
      <c r="J36" s="15">
        <f>IF(I36&lt;&gt;"","Warm intro via "&amp;I36,IF(H36="published","Email + LinkedIn note same day",IF(AND(H36="pattern - unverified",F36&lt;&gt;"not found"),"LinkedIn first; verify email then follow up",IF(F36&lt;&gt;"not found","LinkedIn InMail / connection note","Firm switchboard or conference"))))</f>
        <v/>
      </c>
      <c r="K36" s="6" t="inlineStr">
        <is>
          <t>'Secure EoI' Apr 2026; position as later-stage buyer</t>
        </is>
      </c>
      <c r="L36" s="6" t="inlineStr">
        <is>
          <t>Medium</t>
        </is>
      </c>
      <c r="M36" s="6" t="inlineStr">
        <is>
          <t>Investor tracker</t>
        </is>
      </c>
      <c r="N36" s="6" t="inlineStr">
        <is>
          <t>AM</t>
        </is>
      </c>
      <c r="O36" s="6" t="inlineStr">
        <is>
          <t>Not started</t>
        </is>
      </c>
    </row>
    <row r="37">
      <c r="A37" s="6" t="inlineStr">
        <is>
          <t>Oak Chase Global</t>
        </is>
      </c>
      <c r="B37" s="6" t="inlineStr">
        <is>
          <t>OCG team</t>
        </is>
      </c>
      <c r="C37" s="6" t="inlineStr">
        <is>
          <t>Capital introduction (~180 investors)</t>
        </is>
      </c>
      <c r="D37" s="6" t="inlineStr">
        <is>
          <t>Introducer</t>
        </is>
      </c>
      <c r="E37" s="6" t="inlineStr">
        <is>
          <t>IVP</t>
        </is>
      </c>
      <c r="F37" s="6" t="inlineStr">
        <is>
          <t>not found</t>
        </is>
      </c>
      <c r="G37" s="6" t="inlineStr">
        <is>
          <t>not found</t>
        </is>
      </c>
      <c r="H37" s="6" t="inlineStr">
        <is>
          <t>not found</t>
        </is>
      </c>
      <c r="I37" s="6" t="inlineStr">
        <is>
          <t>Direct (NDA Mar 2026)</t>
        </is>
      </c>
      <c r="J37" s="15">
        <f>IF(I37&lt;&gt;"","Warm intro via "&amp;I37,IF(H37="published","Email + LinkedIn note same day",IF(AND(H37="pattern - unverified",F37&lt;&gt;"not found"),"LinkedIn first; verify email then follow up",IF(F37&lt;&gt;"not found","LinkedIn InMail / connection note","Firm switchboard or conference"))))</f>
        <v/>
      </c>
      <c r="K37" s="6" t="inlineStr">
        <is>
          <t>Ask for output since March; drop if none</t>
        </is>
      </c>
      <c r="L37" s="6" t="inlineStr">
        <is>
          <t>Medium</t>
        </is>
      </c>
      <c r="M37" s="6" t="inlineStr">
        <is>
          <t>Fathom 20-03-2026</t>
        </is>
      </c>
      <c r="N37" s="6" t="inlineStr">
        <is>
          <t>KM</t>
        </is>
      </c>
      <c r="O37" s="6" t="inlineStr">
        <is>
          <t>Not started</t>
        </is>
      </c>
    </row>
    <row r="38">
      <c r="A38" s="6" t="inlineStr">
        <is>
          <t>Sergo Vashakmadze</t>
        </is>
      </c>
      <c r="B38" s="6" t="inlineStr">
        <is>
          <t>Sergo Vashakmadze</t>
        </is>
      </c>
      <c r="C38" s="6" t="inlineStr">
        <is>
          <t>Intermediary (5% / 2.5% success fee)</t>
        </is>
      </c>
      <c r="D38" s="6" t="inlineStr">
        <is>
          <t>Introducer</t>
        </is>
      </c>
      <c r="E38" s="6" t="inlineStr">
        <is>
          <t>IPL</t>
        </is>
      </c>
      <c r="F38" s="14" t="inlineStr">
        <is>
          <t>https://www.linkedin.com/search/results/people/?keywords=Sergo%20Vashakmadze%20</t>
        </is>
      </c>
      <c r="G38" s="6" t="inlineStr">
        <is>
          <t>not found</t>
        </is>
      </c>
      <c r="H38" s="6" t="inlineStr">
        <is>
          <t>not found</t>
        </is>
      </c>
      <c r="I38" s="6" t="inlineStr">
        <is>
          <t>Direct (call Jun 2025)</t>
        </is>
      </c>
      <c r="J38" s="15">
        <f>IF(I38&lt;&gt;"","Warm intro via "&amp;I38,IF(H38="published","Email + LinkedIn note same day",IF(AND(H38="pattern - unverified",F38&lt;&gt;"not found"),"LinkedIn first; verify email then follow up",IF(F38&lt;&gt;"not found","LinkedIn InMail / connection note","Firm switchboard or conference"))))</f>
        <v/>
      </c>
      <c r="K38" s="6" t="inlineStr">
        <is>
          <t>Named-investor basis only</t>
        </is>
      </c>
      <c r="L38" s="6" t="inlineStr">
        <is>
          <t>Medium</t>
        </is>
      </c>
      <c r="M38" s="6" t="inlineStr">
        <is>
          <t>Fathom 23-06-2025</t>
        </is>
      </c>
      <c r="N38" s="6" t="inlineStr">
        <is>
          <t>KM</t>
        </is>
      </c>
      <c r="O38" s="6" t="inlineStr">
        <is>
          <t>Not started</t>
        </is>
      </c>
    </row>
    <row r="39">
      <c r="A39" s="6" t="inlineStr">
        <is>
          <t>Rivage Investment</t>
        </is>
      </c>
      <c r="B39" s="6" t="inlineStr">
        <is>
          <t>Head of European Climate Debt Solutions (name to verify)</t>
        </is>
      </c>
      <c r="C39" s="6" t="inlineStr">
        <is>
          <t>Climate-tech deployment debt (EIF InvestEU)</t>
        </is>
      </c>
      <c r="D39" s="6" t="inlineStr">
        <is>
          <t>Infra / climate debt</t>
        </is>
      </c>
      <c r="E39" s="6" t="inlineStr">
        <is>
          <t>IPL</t>
        </is>
      </c>
      <c r="F39" s="14" t="inlineStr">
        <is>
          <t>https://www.linkedin.com/search/results/people/?keywords=Rivage%20Investment%20climate%20debt</t>
        </is>
      </c>
      <c r="G39" s="6" t="inlineStr">
        <is>
          <t>not found</t>
        </is>
      </c>
      <c r="H39" s="6" t="inlineStr">
        <is>
          <t>not found</t>
        </is>
      </c>
      <c r="I39" s="6" t="inlineStr"/>
      <c r="J39" s="15">
        <f>IF(I39&lt;&gt;"","Warm intro via "&amp;I39,IF(H39="published","Email + LinkedIn note same day",IF(AND(H39="pattern - unverified",F39&lt;&gt;"not found"),"LinkedIn first; verify email then follow up",IF(F39&lt;&gt;"not found","LinkedIn InMail / connection note","Firm switchboard or conference"))))</f>
        <v/>
      </c>
      <c r="K39" s="6" t="inlineStr">
        <is>
          <t>Only European climate-debt mandate built for facility deployment; EIF InvestEU backing aligns with the Innovation Fund grant</t>
        </is>
      </c>
      <c r="L39" s="6" t="inlineStr">
        <is>
          <t>Low - name not verified in session</t>
        </is>
      </c>
      <c r="M39" s="6" t="inlineStr">
        <is>
          <t>rivageinvestment.com strategy page</t>
        </is>
      </c>
      <c r="N39" s="6" t="inlineStr">
        <is>
          <t>KM</t>
        </is>
      </c>
      <c r="O39" s="6" t="inlineStr">
        <is>
          <t>Not started</t>
        </is>
      </c>
    </row>
    <row r="40">
      <c r="A40" s="6" t="inlineStr">
        <is>
          <t>Eiffel Investment Group</t>
        </is>
      </c>
      <c r="B40" s="6" t="inlineStr">
        <is>
          <t>Pierre-Antoine Machelon (Head of Infrastructure) [verify]</t>
        </is>
      </c>
      <c r="C40" s="6" t="inlineStr">
        <is>
          <t>Energy Transition Infrastructure</t>
        </is>
      </c>
      <c r="D40" s="6" t="inlineStr">
        <is>
          <t>Infra / energy-transition debt</t>
        </is>
      </c>
      <c r="E40" s="6" t="inlineStr">
        <is>
          <t>IPL</t>
        </is>
      </c>
      <c r="F40" s="14" t="inlineStr">
        <is>
          <t>https://www.linkedin.com/search/results/people/?keywords=Pierre-Antoine%20Machelon%20Eiffel%20Investment%20Group</t>
        </is>
      </c>
      <c r="G40" s="6" t="inlineStr">
        <is>
          <t>not found</t>
        </is>
      </c>
      <c r="H40" s="6" t="inlineStr">
        <is>
          <t>not found</t>
        </is>
      </c>
      <c r="I40" s="6" t="inlineStr"/>
      <c r="J40" s="15">
        <f>IF(I40&lt;&gt;"","Warm intro via "&amp;I40,IF(H40="published","Email + LinkedIn note same day",IF(AND(H40="pattern - unverified",F40&lt;&gt;"not found"),"LinkedIn first; verify email then follow up",IF(F40&lt;&gt;"not found","LinkedIn InMail / connection note","Firm switchboard or conference"))))</f>
        <v/>
      </c>
      <c r="K40" s="6" t="inlineStr">
        <is>
          <t>Bridge against the €29.4m CINEA receivable (WP2 €24.4m at entry into operation) - a product Eiffel already runs for renewables</t>
        </is>
      </c>
      <c r="L40" s="6" t="inlineStr">
        <is>
          <t>Low - analyst knowledge [K]</t>
        </is>
      </c>
      <c r="M40" s="6" t="inlineStr">
        <is>
          <t>IPE Real Assets (EET III)</t>
        </is>
      </c>
      <c r="N40" s="6" t="inlineStr">
        <is>
          <t>KM</t>
        </is>
      </c>
      <c r="O40" s="6" t="inlineStr">
        <is>
          <t>Not started</t>
        </is>
      </c>
    </row>
    <row r="41">
      <c r="A41" s="6" t="inlineStr">
        <is>
          <t>Polestar Capital</t>
        </is>
      </c>
      <c r="B41" s="6" t="inlineStr">
        <is>
          <t>Investment team (name to verify)</t>
        </is>
      </c>
      <c r="C41" s="6" t="inlineStr">
        <is>
          <t>Impact senior debt (Xycle lender)</t>
        </is>
      </c>
      <c r="D41" s="6" t="inlineStr">
        <is>
          <t>Impact debt</t>
        </is>
      </c>
      <c r="E41" s="6" t="inlineStr">
        <is>
          <t>IPL</t>
        </is>
      </c>
      <c r="F41" s="14" t="inlineStr">
        <is>
          <t>https://www.linkedin.com/search/results/people/?keywords=Polestar%20Capital%20Xycle</t>
        </is>
      </c>
      <c r="G41" s="6" t="inlineStr">
        <is>
          <t>not found</t>
        </is>
      </c>
      <c r="H41" s="6" t="inlineStr">
        <is>
          <t>not found</t>
        </is>
      </c>
      <c r="I41" s="6" t="inlineStr"/>
      <c r="J41" s="15">
        <f>IF(I41&lt;&gt;"","Warm intro via "&amp;I41,IF(H41="published","Email + LinkedIn note same day",IF(AND(H41="pattern - unverified",F41&lt;&gt;"not found"),"LinkedIn first; verify email then follow up",IF(F41&lt;&gt;"not found","LinkedIn InMail / connection note","Firm switchboard or conference"))))</f>
        <v/>
      </c>
      <c r="K41" s="6" t="inlineStr">
        <is>
          <t>Only European fund with a chemical-recycling senior loan on its book - ask for their Xycle covenant package as a template</t>
        </is>
      </c>
      <c r="L41" s="6" t="inlineStr">
        <is>
          <t>Low</t>
        </is>
      </c>
      <c r="M41" s="6" t="inlineStr">
        <is>
          <t>Recycling Today (Xycle financing)</t>
        </is>
      </c>
      <c r="N41" s="6" t="inlineStr">
        <is>
          <t>KM</t>
        </is>
      </c>
      <c r="O41" s="6" t="inlineStr">
        <is>
          <t>Not started</t>
        </is>
      </c>
    </row>
    <row r="42">
      <c r="A42" s="6" t="inlineStr">
        <is>
          <t>Infranity</t>
        </is>
      </c>
      <c r="B42" s="6" t="inlineStr">
        <is>
          <t>Philippe Benaroya (CEO) [verify]</t>
        </is>
      </c>
      <c r="C42" s="6" t="inlineStr">
        <is>
          <t>Infrastructure debt - Enhanced Return Debt Fund</t>
        </is>
      </c>
      <c r="D42" s="6" t="inlineStr">
        <is>
          <t>Infra debt</t>
        </is>
      </c>
      <c r="E42" s="6" t="inlineStr">
        <is>
          <t>IPL</t>
        </is>
      </c>
      <c r="F42" s="14" t="inlineStr">
        <is>
          <t>https://www.linkedin.com/search/results/people/?keywords=Philippe%20Benaroya%20Infranity</t>
        </is>
      </c>
      <c r="G42" s="6" t="inlineStr">
        <is>
          <t>not found</t>
        </is>
      </c>
      <c r="H42" s="6" t="inlineStr">
        <is>
          <t>not found</t>
        </is>
      </c>
      <c r="I42" s="6" t="inlineStr"/>
      <c r="J42" s="15">
        <f>IF(I42&lt;&gt;"","Warm intro via "&amp;I42,IF(H42="published","Email + LinkedIn note same day",IF(AND(H42="pattern - unverified",F42&lt;&gt;"not found"),"LinkedIn first; verify email then follow up",IF(F42&lt;&gt;"not found","LinkedIn InMail / connection note","Firm switchboard or conference"))))</f>
        <v/>
      </c>
      <c r="K42" s="6" t="inlineStr">
        <is>
          <t>Sub-IG senior sleeve with 50% climate target; approach at FID with EPC wrap and TDD</t>
        </is>
      </c>
      <c r="L42" s="6" t="inlineStr">
        <is>
          <t>Low - analyst knowledge [K]</t>
        </is>
      </c>
      <c r="M42" s="6" t="inlineStr">
        <is>
          <t>ACI 18-12-2025</t>
        </is>
      </c>
      <c r="N42" s="6" t="inlineStr">
        <is>
          <t>Venero</t>
        </is>
      </c>
      <c r="O42" s="6" t="inlineStr">
        <is>
          <t>Not started</t>
        </is>
      </c>
    </row>
    <row r="43">
      <c r="A43" s="6" t="inlineStr">
        <is>
          <t>Tiger Infrastructure Partners</t>
        </is>
      </c>
      <c r="B43" s="6" t="inlineStr">
        <is>
          <t>Emil Henry (CEO) [verify]</t>
        </is>
      </c>
      <c r="C43" s="6" t="inlineStr">
        <is>
          <t>Growth infrastructure equity (Bolder Industries investor)</t>
        </is>
      </c>
      <c r="D43" s="6" t="inlineStr">
        <is>
          <t>Growth infra equity</t>
        </is>
      </c>
      <c r="E43" s="6" t="inlineStr">
        <is>
          <t>IVP / IPL</t>
        </is>
      </c>
      <c r="F43" s="14" t="inlineStr">
        <is>
          <t>https://www.linkedin.com/search/results/people/?keywords=Emil%20Henry%20Tiger%20Infrastructure%20Partners</t>
        </is>
      </c>
      <c r="G43" s="6" t="inlineStr">
        <is>
          <t>not found</t>
        </is>
      </c>
      <c r="H43" s="6" t="inlineStr">
        <is>
          <t>not found</t>
        </is>
      </c>
      <c r="I43" s="6" t="inlineStr"/>
      <c r="J43" s="15">
        <f>IF(I43&lt;&gt;"","Warm intro via "&amp;I43,IF(H43="published","Email + LinkedIn note same day",IF(AND(H43="pattern - unverified",F43&lt;&gt;"not found"),"LinkedIn first; verify email then follow up",IF(F43&lt;&gt;"not found","LinkedIn InMail / connection note","Firm switchboard or conference"))))</f>
        <v/>
      </c>
      <c r="K43" s="6" t="inlineStr">
        <is>
          <t>They underwrote Bolder Antwerp (86ktpa) - IVP is the same thesis with an EU grant attached</t>
        </is>
      </c>
      <c r="L43" s="6" t="inlineStr">
        <is>
          <t>Low - analyst knowledge [K]</t>
        </is>
      </c>
      <c r="M43" s="6" t="inlineStr">
        <is>
          <t>PR Newswire Feb 2025</t>
        </is>
      </c>
      <c r="N43" s="6" t="inlineStr">
        <is>
          <t>KM</t>
        </is>
      </c>
      <c r="O43" s="6" t="inlineStr">
        <is>
          <t>Not started</t>
        </is>
      </c>
    </row>
    <row r="44">
      <c r="A44" s="6" t="inlineStr">
        <is>
          <t>Kartesia</t>
        </is>
      </c>
      <c r="B44" s="6" t="inlineStr">
        <is>
          <t>Jaime Prieto (Managing Partner) [verify]; Southern Europe origination head</t>
        </is>
      </c>
      <c r="C44" s="6" t="inlineStr">
        <is>
          <t>Lower-mid-market credit</t>
        </is>
      </c>
      <c r="D44" s="6" t="inlineStr">
        <is>
          <t>Private credit</t>
        </is>
      </c>
      <c r="E44" s="6" t="inlineStr">
        <is>
          <t>IPL / CPEF</t>
        </is>
      </c>
      <c r="F44" s="14" t="inlineStr">
        <is>
          <t>https://www.linkedin.com/search/results/people/?keywords=Jaime%20Prieto%20Kartesia</t>
        </is>
      </c>
      <c r="G44" s="6" t="inlineStr">
        <is>
          <t>not found</t>
        </is>
      </c>
      <c r="H44" s="6" t="inlineStr">
        <is>
          <t>not found</t>
        </is>
      </c>
      <c r="I44" s="6" t="inlineStr"/>
      <c r="J44" s="15">
        <f>IF(I44&lt;&gt;"","Warm intro via "&amp;I44,IF(H44="published","Email + LinkedIn note same day",IF(AND(H44="pattern - unverified",F44&lt;&gt;"not found"),"LinkedIn first; verify email then follow up",IF(F44&lt;&gt;"not found","LinkedIn InMail / connection note","Firm switchboard or conference"))))</f>
        <v/>
      </c>
      <c r="K44" s="6" t="inlineStr">
        <is>
          <t>KCO VI does sponsorless hybrids in Southern Europe at €10m to €60m; on the Cascade map</t>
        </is>
      </c>
      <c r="L44" s="6" t="inlineStr">
        <is>
          <t>Low - analyst knowledge [K]</t>
        </is>
      </c>
      <c r="M44" s="6" t="inlineStr">
        <is>
          <t>kartesia.com</t>
        </is>
      </c>
      <c r="N44" s="6" t="inlineStr">
        <is>
          <t>Venero</t>
        </is>
      </c>
      <c r="O44" s="6" t="inlineStr">
        <is>
          <t>Not started</t>
        </is>
      </c>
    </row>
    <row r="45">
      <c r="A45" s="6" t="inlineStr">
        <is>
          <t>Incus Capital</t>
        </is>
      </c>
      <c r="B45" s="6" t="inlineStr">
        <is>
          <t>Alejandro Moya (Co-founder) [verify]</t>
        </is>
      </c>
      <c r="C45" s="6" t="inlineStr">
        <is>
          <t>Iberian real-asset special situations</t>
        </is>
      </c>
      <c r="D45" s="6" t="inlineStr">
        <is>
          <t>Special situations</t>
        </is>
      </c>
      <c r="E45" s="6" t="inlineStr">
        <is>
          <t>IPL</t>
        </is>
      </c>
      <c r="F45" s="14" t="inlineStr">
        <is>
          <t>https://www.linkedin.com/search/results/people/?keywords=Alejandro%20Moya%20Incus%20Capital</t>
        </is>
      </c>
      <c r="G45" s="6" t="inlineStr">
        <is>
          <t>not found</t>
        </is>
      </c>
      <c r="H45" s="6" t="inlineStr">
        <is>
          <t>not found</t>
        </is>
      </c>
      <c r="I45" s="6" t="inlineStr"/>
      <c r="J45" s="15">
        <f>IF(I45&lt;&gt;"","Warm intro via "&amp;I45,IF(H45="published","Email + LinkedIn note same day",IF(AND(H45="pattern - unverified",F45&lt;&gt;"not found"),"LinkedIn first; verify email then follow up",IF(F45&lt;&gt;"not found","LinkedIn InMail / connection note","Firm switchboard or conference"))))</f>
        <v/>
      </c>
      <c r="K45" s="6" t="inlineStr">
        <is>
          <t>Real-asset backed €10m to €50m; ask whether Greece is in mandate</t>
        </is>
      </c>
      <c r="L45" s="6" t="inlineStr">
        <is>
          <t>Low - analyst knowledge [K]</t>
        </is>
      </c>
      <c r="M45" s="6" t="inlineStr">
        <is>
          <t>Cascade map</t>
        </is>
      </c>
      <c r="N45" s="6" t="inlineStr">
        <is>
          <t>Venero</t>
        </is>
      </c>
      <c r="O45" s="6" t="inlineStr">
        <is>
          <t>Not started</t>
        </is>
      </c>
    </row>
    <row r="46">
      <c r="A46" s="6" t="inlineStr">
        <is>
          <t>Cross Ocean Partners</t>
        </is>
      </c>
      <c r="B46" s="6" t="inlineStr">
        <is>
          <t>European special situations team (name to verify)</t>
        </is>
      </c>
      <c r="C46" s="6" t="inlineStr">
        <is>
          <t>Special situations / ABF</t>
        </is>
      </c>
      <c r="D46" s="6" t="inlineStr">
        <is>
          <t>Special situations</t>
        </is>
      </c>
      <c r="E46" s="6" t="inlineStr">
        <is>
          <t>IPL</t>
        </is>
      </c>
      <c r="F46" s="14" t="inlineStr">
        <is>
          <t>https://www.linkedin.com/search/results/people/?keywords=Cross%20Ocean%20Partners%20special%20situations</t>
        </is>
      </c>
      <c r="G46" s="6" t="inlineStr">
        <is>
          <t>not found</t>
        </is>
      </c>
      <c r="H46" s="6" t="inlineStr">
        <is>
          <t>not found</t>
        </is>
      </c>
      <c r="I46" s="6" t="inlineStr"/>
      <c r="J46" s="15">
        <f>IF(I46&lt;&gt;"","Warm intro via "&amp;I46,IF(H46="published","Email + LinkedIn note same day",IF(AND(H46="pattern - unverified",F46&lt;&gt;"not found"),"LinkedIn first; verify email then follow up",IF(F46&lt;&gt;"not found","LinkedIn InMail / connection note","Firm switchboard or conference"))))</f>
        <v/>
      </c>
      <c r="K46" s="6" t="inlineStr">
        <is>
          <t>Asset-backed special sits with Southern Europe history; on the Cascade map</t>
        </is>
      </c>
      <c r="L46" s="6" t="inlineStr">
        <is>
          <t>Low</t>
        </is>
      </c>
      <c r="M46" s="6" t="inlineStr">
        <is>
          <t>Cascade map</t>
        </is>
      </c>
      <c r="N46" s="6" t="inlineStr">
        <is>
          <t>Venero</t>
        </is>
      </c>
      <c r="O46" s="6" t="inlineStr">
        <is>
          <t>Not started</t>
        </is>
      </c>
    </row>
    <row r="47">
      <c r="A47" s="6" t="inlineStr">
        <is>
          <t>Blantyre Capital</t>
        </is>
      </c>
      <c r="B47" s="6" t="inlineStr">
        <is>
          <t>Mubashir Mukadam (Founder) [verify]</t>
        </is>
      </c>
      <c r="C47" s="6" t="inlineStr">
        <is>
          <t>Special situations</t>
        </is>
      </c>
      <c r="D47" s="6" t="inlineStr">
        <is>
          <t>Special situations</t>
        </is>
      </c>
      <c r="E47" s="6" t="inlineStr">
        <is>
          <t>IPL</t>
        </is>
      </c>
      <c r="F47" s="14" t="inlineStr">
        <is>
          <t>https://www.linkedin.com/search/results/people/?keywords=Mubashir%20Mukadam%20Blantyre%20Capital</t>
        </is>
      </c>
      <c r="G47" s="6" t="inlineStr">
        <is>
          <t>not found</t>
        </is>
      </c>
      <c r="H47" s="6" t="inlineStr">
        <is>
          <t>not found</t>
        </is>
      </c>
      <c r="I47" s="6" t="inlineStr"/>
      <c r="J47" s="15">
        <f>IF(I47&lt;&gt;"","Warm intro via "&amp;I47,IF(H47="published","Email + LinkedIn note same day",IF(AND(H47="pattern - unverified",F47&lt;&gt;"not found"),"LinkedIn first; verify email then follow up",IF(F47&lt;&gt;"not found","LinkedIn InMail / connection note","Firm switchboard or conference"))))</f>
        <v/>
      </c>
      <c r="K47" s="6" t="inlineStr">
        <is>
          <t>€35m FOAK hybrid at 14% to 18% all-in with warrants</t>
        </is>
      </c>
      <c r="L47" s="6" t="inlineStr">
        <is>
          <t>Low - analyst knowledge [K]</t>
        </is>
      </c>
      <c r="M47" s="6" t="inlineStr">
        <is>
          <t>PitchBook fund profile</t>
        </is>
      </c>
      <c r="N47" s="6" t="inlineStr">
        <is>
          <t>Venero</t>
        </is>
      </c>
      <c r="O47" s="6" t="inlineStr">
        <is>
          <t>Not started</t>
        </is>
      </c>
    </row>
    <row r="48">
      <c r="A48" s="6" t="inlineStr">
        <is>
          <t>Hayfin Capital Management</t>
        </is>
      </c>
      <c r="B48" s="6" t="inlineStr">
        <is>
          <t>Head of Special Opportunities (name to verify)</t>
        </is>
      </c>
      <c r="C48" s="6" t="inlineStr">
        <is>
          <t>Special Opportunities</t>
        </is>
      </c>
      <c r="D48" s="6" t="inlineStr">
        <is>
          <t>Special situations</t>
        </is>
      </c>
      <c r="E48" s="6" t="inlineStr">
        <is>
          <t>IPL / IVP</t>
        </is>
      </c>
      <c r="F48" s="14" t="inlineStr">
        <is>
          <t>https://www.linkedin.com/search/results/people/?keywords=Hayfin%20Special%20Opportunities</t>
        </is>
      </c>
      <c r="G48" s="6" t="inlineStr">
        <is>
          <t>not found</t>
        </is>
      </c>
      <c r="H48" s="6" t="inlineStr">
        <is>
          <t>not found</t>
        </is>
      </c>
      <c r="I48" s="6" t="inlineStr"/>
      <c r="J48" s="15">
        <f>IF(I48&lt;&gt;"","Warm intro via "&amp;I48,IF(H48="published","Email + LinkedIn note same day",IF(AND(H48="pattern - unverified",F48&lt;&gt;"not found"),"LinkedIn first; verify email then follow up",IF(F48&lt;&gt;"not found","LinkedIn InMail / connection note","Firm switchboard or conference"))))</f>
        <v/>
      </c>
      <c r="K48" s="6" t="inlineStr">
        <is>
          <t>Ticket floor c.€25m; only for the full VD tranche or IVP</t>
        </is>
      </c>
      <c r="L48" s="6" t="inlineStr">
        <is>
          <t>Low</t>
        </is>
      </c>
      <c r="M48" s="6" t="inlineStr">
        <is>
          <t>hayfin.com</t>
        </is>
      </c>
      <c r="N48" s="6" t="inlineStr">
        <is>
          <t>Venero</t>
        </is>
      </c>
      <c r="O48" s="6" t="inlineStr">
        <is>
          <t>Not started</t>
        </is>
      </c>
    </row>
    <row r="49">
      <c r="A49" s="6" t="inlineStr">
        <is>
          <t>Tikehau Capital</t>
        </is>
      </c>
      <c r="B49" s="6" t="inlineStr">
        <is>
          <t>Cecile Mayer-Levi (Head of Private Debt) [verify]; Special Opportunities team</t>
        </is>
      </c>
      <c r="C49" s="6" t="inlineStr">
        <is>
          <t>Private debt / special sits / decarbonisation</t>
        </is>
      </c>
      <c r="D49" s="6" t="inlineStr">
        <is>
          <t>Private credit</t>
        </is>
      </c>
      <c r="E49" s="6" t="inlineStr">
        <is>
          <t>IVP / IPL</t>
        </is>
      </c>
      <c r="F49" s="14" t="inlineStr">
        <is>
          <t>https://www.linkedin.com/search/results/people/?keywords=Cecile%20Mayer-Levi%20Tikehau%20Capital</t>
        </is>
      </c>
      <c r="G49" s="6" t="inlineStr">
        <is>
          <t>not found</t>
        </is>
      </c>
      <c r="H49" s="6" t="inlineStr">
        <is>
          <t>not found</t>
        </is>
      </c>
      <c r="I49" s="6" t="inlineStr"/>
      <c r="J49" s="15">
        <f>IF(I49&lt;&gt;"","Warm intro via "&amp;I49,IF(H49="published","Email + LinkedIn note same day",IF(AND(H49="pattern - unverified",F49&lt;&gt;"not found"),"LinkedIn first; verify email then follow up",IF(F49&lt;&gt;"not found","LinkedIn InMail / connection note","Firm switchboard or conference"))))</f>
        <v/>
      </c>
      <c r="K49" s="6" t="inlineStr">
        <is>
          <t>Decarbonisation strategy plus special sits; Southern Europe offices</t>
        </is>
      </c>
      <c r="L49" s="6" t="inlineStr">
        <is>
          <t>Low - analyst knowledge [K]</t>
        </is>
      </c>
      <c r="M49" s="6" t="inlineStr">
        <is>
          <t>ACI 24-07-2026</t>
        </is>
      </c>
      <c r="N49" s="6" t="inlineStr">
        <is>
          <t>KM</t>
        </is>
      </c>
      <c r="O49" s="6" t="inlineStr">
        <is>
          <t>Not started</t>
        </is>
      </c>
    </row>
    <row r="50">
      <c r="A50" s="6" t="inlineStr">
        <is>
          <t>Davidson Kempner (Greece)</t>
        </is>
      </c>
      <c r="B50" s="6" t="inlineStr">
        <is>
          <t>Head of Greek investments (name to verify)</t>
        </is>
      </c>
      <c r="C50" s="6" t="inlineStr">
        <is>
          <t>Special situations; owner of Cepal</t>
        </is>
      </c>
      <c r="D50" s="6" t="inlineStr">
        <is>
          <t>Special situations</t>
        </is>
      </c>
      <c r="E50" s="6" t="inlineStr">
        <is>
          <t>IPL / IVP</t>
        </is>
      </c>
      <c r="F50" s="14" t="inlineStr">
        <is>
          <t>https://www.linkedin.com/search/results/people/?keywords=Davidson%20Kempner%20Greece</t>
        </is>
      </c>
      <c r="G50" s="6" t="inlineStr">
        <is>
          <t>not found</t>
        </is>
      </c>
      <c r="H50" s="6" t="inlineStr">
        <is>
          <t>not found</t>
        </is>
      </c>
      <c r="I50" s="6" t="inlineStr"/>
      <c r="J50" s="15">
        <f>IF(I50&lt;&gt;"","Warm intro via "&amp;I50,IF(H50="published","Email + LinkedIn note same day",IF(AND(H50="pattern - unverified",F50&lt;&gt;"not found"),"LinkedIn first; verify email then follow up",IF(F50&lt;&gt;"not found","LinkedIn InMail / connection note","Firm switchboard or conference"))))</f>
        <v/>
      </c>
      <c r="K50" s="6" t="inlineStr">
        <is>
          <t>Largest foreign credit investor in Greece; hard-asset hybrid at IVP scale</t>
        </is>
      </c>
      <c r="L50" s="6" t="inlineStr">
        <is>
          <t>Low</t>
        </is>
      </c>
      <c r="M50" s="6" t="inlineStr">
        <is>
          <t>hellaz.eu</t>
        </is>
      </c>
      <c r="N50" s="6" t="inlineStr">
        <is>
          <t>Axia</t>
        </is>
      </c>
      <c r="O50" s="6" t="inlineStr">
        <is>
          <t>Not started</t>
        </is>
      </c>
    </row>
    <row r="51">
      <c r="A51" s="6" t="inlineStr">
        <is>
          <t>Kreos Capital</t>
        </is>
      </c>
      <c r="B51" s="6" t="inlineStr">
        <is>
          <t>Aris Constantinides (General Partner) [verify]</t>
        </is>
      </c>
      <c r="C51" s="6" t="inlineStr">
        <is>
          <t>Venture / growth debt</t>
        </is>
      </c>
      <c r="D51" s="6" t="inlineStr">
        <is>
          <t>Growth debt</t>
        </is>
      </c>
      <c r="E51" s="6" t="inlineStr">
        <is>
          <t>CPEF</t>
        </is>
      </c>
      <c r="F51" s="14" t="inlineStr">
        <is>
          <t>https://www.linkedin.com/search/results/people/?keywords=Aris%20Constantinides%20Kreos%20Capital</t>
        </is>
      </c>
      <c r="G51" s="6" t="inlineStr">
        <is>
          <t>not found</t>
        </is>
      </c>
      <c r="H51" s="6" t="inlineStr">
        <is>
          <t>not found</t>
        </is>
      </c>
      <c r="I51" s="6" t="inlineStr">
        <is>
          <t>Greek diaspora</t>
        </is>
      </c>
      <c r="J51" s="15">
        <f>IF(I51&lt;&gt;"","Warm intro via "&amp;I51,IF(H51="published","Email + LinkedIn note same day",IF(AND(H51="pattern - unverified",F51&lt;&gt;"not found"),"LinkedIn first; verify email then follow up",IF(F51&lt;&gt;"not found","LinkedIn InMail / connection note","Firm switchboard or conference"))))</f>
        <v/>
      </c>
      <c r="K51" s="6" t="inlineStr">
        <is>
          <t>Greek GP at Europe's largest growth-debt house; Curity growth line once 12 months of German sales are audited</t>
        </is>
      </c>
      <c r="L51" s="6" t="inlineStr">
        <is>
          <t>Medium - analyst knowledge [K]</t>
        </is>
      </c>
      <c r="M51" s="6" t="inlineStr">
        <is>
          <t>tulacap.com</t>
        </is>
      </c>
      <c r="N51" s="6" t="inlineStr">
        <is>
          <t>KM</t>
        </is>
      </c>
      <c r="O51" s="6" t="inlineStr">
        <is>
          <t>Not started</t>
        </is>
      </c>
    </row>
    <row r="52">
      <c r="A52" s="6" t="inlineStr">
        <is>
          <t>Claret Capital Partners</t>
        </is>
      </c>
      <c r="B52" s="6" t="inlineStr">
        <is>
          <t>Johan Kampe (Managing Partner) [verify]</t>
        </is>
      </c>
      <c r="C52" s="6" t="inlineStr">
        <is>
          <t>Growth debt</t>
        </is>
      </c>
      <c r="D52" s="6" t="inlineStr">
        <is>
          <t>Growth debt</t>
        </is>
      </c>
      <c r="E52" s="6" t="inlineStr">
        <is>
          <t>CPEF</t>
        </is>
      </c>
      <c r="F52" s="14" t="inlineStr">
        <is>
          <t>https://www.linkedin.com/search/results/people/?keywords=Johan%20Kampe%20Claret%20Capital%20Partners</t>
        </is>
      </c>
      <c r="G52" s="6" t="inlineStr">
        <is>
          <t>not found</t>
        </is>
      </c>
      <c r="H52" s="6" t="inlineStr">
        <is>
          <t>not found</t>
        </is>
      </c>
      <c r="I52" s="6" t="inlineStr"/>
      <c r="J52" s="15">
        <f>IF(I52&lt;&gt;"","Warm intro via "&amp;I52,IF(H52="published","Email + LinkedIn note same day",IF(AND(H52="pattern - unverified",F52&lt;&gt;"not found"),"LinkedIn first; verify email then follow up",IF(F52&lt;&gt;"not found","LinkedIn InMail / connection note","Firm switchboard or conference"))))</f>
        <v/>
      </c>
      <c r="K52" s="6" t="inlineStr">
        <is>
          <t>Fund IV €575m; €3m to €30m; no cannabis exclusion located</t>
        </is>
      </c>
      <c r="L52" s="6" t="inlineStr">
        <is>
          <t>Low - analyst knowledge [K]</t>
        </is>
      </c>
      <c r="M52" s="6" t="inlineStr">
        <is>
          <t>TNW</t>
        </is>
      </c>
      <c r="N52" s="6" t="inlineStr">
        <is>
          <t>KM</t>
        </is>
      </c>
      <c r="O52" s="6" t="inlineStr">
        <is>
          <t>Not started</t>
        </is>
      </c>
    </row>
    <row r="53">
      <c r="A53" s="6" t="inlineStr">
        <is>
          <t>Atempo Growth</t>
        </is>
      </c>
      <c r="B53" s="6" t="inlineStr">
        <is>
          <t>Madrid office (name to verify)</t>
        </is>
      </c>
      <c r="C53" s="6" t="inlineStr">
        <is>
          <t>Growth debt, Southern Europe</t>
        </is>
      </c>
      <c r="D53" s="6" t="inlineStr">
        <is>
          <t>Growth debt</t>
        </is>
      </c>
      <c r="E53" s="6" t="inlineStr">
        <is>
          <t>CPEF</t>
        </is>
      </c>
      <c r="F53" s="14" t="inlineStr">
        <is>
          <t>https://www.linkedin.com/search/results/people/?keywords=Atempo%20Growth%20Madrid</t>
        </is>
      </c>
      <c r="G53" s="6" t="inlineStr">
        <is>
          <t>not found</t>
        </is>
      </c>
      <c r="H53" s="6" t="inlineStr">
        <is>
          <t>not found</t>
        </is>
      </c>
      <c r="I53" s="6" t="inlineStr"/>
      <c r="J53" s="15">
        <f>IF(I53&lt;&gt;"","Warm intro via "&amp;I53,IF(H53="published","Email + LinkedIn note same day",IF(AND(H53="pattern - unverified",F53&lt;&gt;"not found"),"LinkedIn first; verify email then follow up",IF(F53&lt;&gt;"not found","LinkedIn InMail / connection note","Firm switchboard or conference"))))</f>
        <v/>
      </c>
      <c r="K53" s="6" t="inlineStr">
        <is>
          <t>Southern Europe growth debt; Fund II &gt;€455m</t>
        </is>
      </c>
      <c r="L53" s="6" t="inlineStr">
        <is>
          <t>Low</t>
        </is>
      </c>
      <c r="M53" s="6" t="inlineStr">
        <is>
          <t>capitalranking.com</t>
        </is>
      </c>
      <c r="N53" s="6" t="inlineStr">
        <is>
          <t>KM</t>
        </is>
      </c>
      <c r="O53" s="6" t="inlineStr">
        <is>
          <t>Not started</t>
        </is>
      </c>
    </row>
    <row r="54">
      <c r="A54" s="6" t="inlineStr">
        <is>
          <t>Chicago Atlantic</t>
        </is>
      </c>
      <c r="B54" s="6" t="inlineStr">
        <is>
          <t>John Mazarakis (Co-founder) [verify]</t>
        </is>
      </c>
      <c r="C54" s="6" t="inlineStr">
        <is>
          <t>Specialist cannabis credit</t>
        </is>
      </c>
      <c r="D54" s="6" t="inlineStr">
        <is>
          <t>Cannabis credit</t>
        </is>
      </c>
      <c r="E54" s="6" t="inlineStr">
        <is>
          <t>CPEF</t>
        </is>
      </c>
      <c r="F54" s="14" t="inlineStr">
        <is>
          <t>https://www.linkedin.com/search/results/people/?keywords=John%20Mazarakis%20Chicago%20Atlantic</t>
        </is>
      </c>
      <c r="G54" s="6" t="inlineStr">
        <is>
          <t>not found</t>
        </is>
      </c>
      <c r="H54" s="6" t="inlineStr">
        <is>
          <t>not found</t>
        </is>
      </c>
      <c r="I54" s="6" t="inlineStr">
        <is>
          <t>Greek diaspora</t>
        </is>
      </c>
      <c r="J54" s="15">
        <f>IF(I54&lt;&gt;"","Warm intro via "&amp;I54,IF(H54="published","Email + LinkedIn note same day",IF(AND(H54="pattern - unverified",F54&lt;&gt;"not found"),"LinkedIn first; verify email then follow up",IF(F54&lt;&gt;"not found","LinkedIn InMail / connection note","Firm switchboard or conference"))))</f>
        <v/>
      </c>
      <c r="K54" s="6" t="inlineStr">
        <is>
          <t>Greek-American co-founder of the largest cannabis lender; no European loan yet - be the first, at 13% to 16% with EU-GMP plant and Galenica offtake as security</t>
        </is>
      </c>
      <c r="L54" s="6" t="inlineStr">
        <is>
          <t>Medium - analyst knowledge [K]</t>
        </is>
      </c>
      <c r="M54" s="6" t="inlineStr">
        <is>
          <t>REFI filings via research briefing</t>
        </is>
      </c>
      <c r="N54" s="6" t="inlineStr">
        <is>
          <t>KM</t>
        </is>
      </c>
      <c r="O54" s="6" t="inlineStr">
        <is>
          <t>Not started</t>
        </is>
      </c>
    </row>
    <row r="55">
      <c r="A55" s="6" t="inlineStr">
        <is>
          <t>Advanced Flower Capital (AFC Gamma)</t>
        </is>
      </c>
      <c r="B55" s="6" t="inlineStr">
        <is>
          <t>Daniel Neville (CEO) [verify]</t>
        </is>
      </c>
      <c r="C55" s="6" t="inlineStr">
        <is>
          <t>Specialist cannabis credit</t>
        </is>
      </c>
      <c r="D55" s="6" t="inlineStr">
        <is>
          <t>Cannabis credit</t>
        </is>
      </c>
      <c r="E55" s="6" t="inlineStr">
        <is>
          <t>CPEF</t>
        </is>
      </c>
      <c r="F55" s="14" t="inlineStr">
        <is>
          <t>https://www.linkedin.com/search/results/people/?keywords=Daniel%20Neville%20AFC%20Gamma</t>
        </is>
      </c>
      <c r="G55" s="6" t="inlineStr">
        <is>
          <t>not found</t>
        </is>
      </c>
      <c r="H55" s="6" t="inlineStr">
        <is>
          <t>not found</t>
        </is>
      </c>
      <c r="I55" s="6" t="inlineStr"/>
      <c r="J55" s="15">
        <f>IF(I55&lt;&gt;"","Warm intro via "&amp;I55,IF(H55="published","Email + LinkedIn note same day",IF(AND(H55="pattern - unverified",F55&lt;&gt;"not found"),"LinkedIn first; verify email then follow up",IF(F55&lt;&gt;"not found","LinkedIn InMail / connection note","Firm switchboard or conference"))))</f>
        <v/>
      </c>
      <c r="K55" s="6" t="inlineStr">
        <is>
          <t>Wave 2; 35.7% non-accrual limits appetite</t>
        </is>
      </c>
      <c r="L55" s="6" t="inlineStr">
        <is>
          <t>Low - analyst knowledge [K]</t>
        </is>
      </c>
      <c r="M55" s="6" t="inlineStr">
        <is>
          <t>AFCG filings via research briefing</t>
        </is>
      </c>
      <c r="N55" s="6" t="inlineStr">
        <is>
          <t>KM</t>
        </is>
      </c>
      <c r="O55" s="6" t="inlineStr">
        <is>
          <t>Not started</t>
        </is>
      </c>
    </row>
    <row r="56">
      <c r="A56" s="6" t="inlineStr">
        <is>
          <t>Artemis Growth Partners</t>
        </is>
      </c>
      <c r="B56" s="6" t="inlineStr">
        <is>
          <t>Investment team (name to verify)</t>
        </is>
      </c>
      <c r="C56" s="6" t="inlineStr">
        <is>
          <t>Cannabis growth equity / hybrid; Fund VII c.75% Europe</t>
        </is>
      </c>
      <c r="D56" s="6" t="inlineStr">
        <is>
          <t>Cannabis equity</t>
        </is>
      </c>
      <c r="E56" s="6" t="inlineStr">
        <is>
          <t>CPEF</t>
        </is>
      </c>
      <c r="F56" s="14" t="inlineStr">
        <is>
          <t>https://www.linkedin.com/search/results/people/?keywords=Artemis%20Growth%20Partners%20cannabis</t>
        </is>
      </c>
      <c r="G56" s="6" t="inlineStr">
        <is>
          <t>not found</t>
        </is>
      </c>
      <c r="H56" s="6" t="inlineStr">
        <is>
          <t>not found</t>
        </is>
      </c>
      <c r="I56" s="6" t="inlineStr"/>
      <c r="J56" s="15">
        <f>IF(I56&lt;&gt;"","Warm intro via "&amp;I56,IF(H56="published","Email + LinkedIn note same day",IF(AND(H56="pattern - unverified",F56&lt;&gt;"not found"),"LinkedIn first; verify email then follow up",IF(F56&lt;&gt;"not found","LinkedIn InMail / connection note","Firm switchboard or conference"))))</f>
        <v/>
      </c>
      <c r="K56" s="6" t="inlineStr">
        <is>
          <t>Only fund with a stated European cannabis allocation; hybrid instrument into Curity alongside the note</t>
        </is>
      </c>
      <c r="L56" s="6" t="inlineStr">
        <is>
          <t>Low</t>
        </is>
      </c>
      <c r="M56" s="6" t="inlineStr">
        <is>
          <t>research briefing (cannabis)</t>
        </is>
      </c>
      <c r="N56" s="6" t="inlineStr">
        <is>
          <t>KM</t>
        </is>
      </c>
      <c r="O56" s="6" t="inlineStr">
        <is>
          <t>Not started</t>
        </is>
      </c>
    </row>
    <row r="57">
      <c r="A57" s="6" t="inlineStr">
        <is>
          <t>Casa Verde Capital</t>
        </is>
      </c>
      <c r="B57" s="6" t="inlineStr">
        <is>
          <t>Karan Wadhera (Managing Partner) [verify]</t>
        </is>
      </c>
      <c r="C57" s="6" t="inlineStr">
        <is>
          <t>Cannabis VC (Cansativa, Sanity)</t>
        </is>
      </c>
      <c r="D57" s="6" t="inlineStr">
        <is>
          <t>Cannabis equity</t>
        </is>
      </c>
      <c r="E57" s="6" t="inlineStr">
        <is>
          <t>CPEF</t>
        </is>
      </c>
      <c r="F57" s="14" t="inlineStr">
        <is>
          <t>https://www.linkedin.com/search/results/people/?keywords=Karan%20Wadhera%20Casa%20Verde%20Capital</t>
        </is>
      </c>
      <c r="G57" s="6" t="inlineStr">
        <is>
          <t>not found</t>
        </is>
      </c>
      <c r="H57" s="6" t="inlineStr">
        <is>
          <t>not found</t>
        </is>
      </c>
      <c r="I57" s="6" t="inlineStr"/>
      <c r="J57" s="15">
        <f>IF(I57&lt;&gt;"","Warm intro via "&amp;I57,IF(H57="published","Email + LinkedIn note same day",IF(AND(H57="pattern - unverified",F57&lt;&gt;"not found"),"LinkedIn first; verify email then follow up",IF(F57&lt;&gt;"not found","LinkedIn InMail / connection note","Firm switchboard or conference"))))</f>
        <v/>
      </c>
      <c r="K57" s="6" t="inlineStr">
        <is>
          <t>Co-investor; German distribution relationships via Cansativa</t>
        </is>
      </c>
      <c r="L57" s="6" t="inlineStr">
        <is>
          <t>Low - analyst knowledge [K]</t>
        </is>
      </c>
      <c r="M57" s="6" t="inlineStr">
        <is>
          <t>research briefing (cannabis)</t>
        </is>
      </c>
      <c r="N57" s="6" t="inlineStr">
        <is>
          <t>KM</t>
        </is>
      </c>
      <c r="O57" s="6" t="inlineStr">
        <is>
          <t>Not started</t>
        </is>
      </c>
    </row>
    <row r="58">
      <c r="A58" s="6" t="inlineStr">
        <is>
          <t>Curaleaf International</t>
        </is>
      </c>
      <c r="B58" s="6" t="inlineStr">
        <is>
          <t>Corporate development (name to verify)</t>
        </is>
      </c>
      <c r="C58" s="6" t="inlineStr">
        <is>
          <t>Strategic acquirer / offtaker</t>
        </is>
      </c>
      <c r="D58" s="6" t="inlineStr">
        <is>
          <t>Strategic</t>
        </is>
      </c>
      <c r="E58" s="6" t="inlineStr">
        <is>
          <t>CPEF</t>
        </is>
      </c>
      <c r="F58" s="14" t="inlineStr">
        <is>
          <t>https://www.linkedin.com/search/results/people/?keywords=Curaleaf%20International%20corporate%20development</t>
        </is>
      </c>
      <c r="G58" s="6" t="inlineStr">
        <is>
          <t>not found</t>
        </is>
      </c>
      <c r="H58" s="6" t="inlineStr">
        <is>
          <t>not found</t>
        </is>
      </c>
      <c r="I58" s="6" t="inlineStr"/>
      <c r="J58" s="15">
        <f>IF(I58&lt;&gt;"","Warm intro via "&amp;I58,IF(H58="published","Email + LinkedIn note same day",IF(AND(H58="pattern - unverified",F58&lt;&gt;"not found"),"LinkedIn first; verify email then follow up",IF(F58&lt;&gt;"not found","LinkedIn InMail / connection note","Firm switchboard or conference"))))</f>
        <v/>
      </c>
      <c r="K58" s="6" t="inlineStr">
        <is>
          <t>US$500m notes fund European M&amp;A; price discovery for the Curity equity fallback and offtake for EU-GMP flower</t>
        </is>
      </c>
      <c r="L58" s="6" t="inlineStr">
        <is>
          <t>Low</t>
        </is>
      </c>
      <c r="M58" s="6" t="inlineStr">
        <is>
          <t>research briefing (cannabis)</t>
        </is>
      </c>
      <c r="N58" s="6" t="inlineStr">
        <is>
          <t>AM</t>
        </is>
      </c>
      <c r="O58" s="6" t="inlineStr">
        <is>
          <t>Not started</t>
        </is>
      </c>
    </row>
    <row r="59">
      <c r="A59" s="6" t="inlineStr">
        <is>
          <t>Cantourage Group SE</t>
        </is>
      </c>
      <c r="B59" s="6" t="inlineStr">
        <is>
          <t>Philip Schetter (CEO) [verify]</t>
        </is>
      </c>
      <c r="C59" s="6" t="inlineStr">
        <is>
          <t>German importer / distributor</t>
        </is>
      </c>
      <c r="D59" s="6" t="inlineStr">
        <is>
          <t>Offtaker</t>
        </is>
      </c>
      <c r="E59" s="6" t="inlineStr">
        <is>
          <t>CPEF</t>
        </is>
      </c>
      <c r="F59" s="14" t="inlineStr">
        <is>
          <t>https://www.linkedin.com/search/results/people/?keywords=Philip%20Schetter%20Cantourage</t>
        </is>
      </c>
      <c r="G59" s="6" t="inlineStr">
        <is>
          <t>not found</t>
        </is>
      </c>
      <c r="H59" s="6" t="inlineStr">
        <is>
          <t>not found</t>
        </is>
      </c>
      <c r="I59" s="6" t="inlineStr"/>
      <c r="J59" s="15">
        <f>IF(I59&lt;&gt;"","Warm intro via "&amp;I59,IF(H59="published","Email + LinkedIn note same day",IF(AND(H59="pattern - unverified",F59&lt;&gt;"not found"),"LinkedIn first; verify email then follow up",IF(F59&lt;&gt;"not found","LinkedIn InMail / connection note","Firm switchboard or conference"))))</f>
        <v/>
      </c>
      <c r="K59" s="6" t="inlineStr">
        <is>
          <t>Offtake contract = collateral a lender will value; FY26 revenue guidance €85-95m</t>
        </is>
      </c>
      <c r="L59" s="6" t="inlineStr">
        <is>
          <t>Medium - analyst knowledge [K]</t>
        </is>
      </c>
      <c r="M59" s="6" t="inlineStr">
        <is>
          <t>research briefing (cannabis)</t>
        </is>
      </c>
      <c r="N59" s="6" t="inlineStr">
        <is>
          <t>AM</t>
        </is>
      </c>
      <c r="O59" s="6" t="inlineStr">
        <is>
          <t>Not started</t>
        </is>
      </c>
    </row>
    <row r="60">
      <c r="A60" s="6" t="inlineStr">
        <is>
          <t>Bloomwell Group</t>
        </is>
      </c>
      <c r="B60" s="6" t="inlineStr">
        <is>
          <t>Niklas Kouparanis (CEO) [verify]</t>
        </is>
      </c>
      <c r="C60" s="6" t="inlineStr">
        <is>
          <t>German cannabis platform (Artemis-backed)</t>
        </is>
      </c>
      <c r="D60" s="6" t="inlineStr">
        <is>
          <t>Strategic / offtaker</t>
        </is>
      </c>
      <c r="E60" s="6" t="inlineStr">
        <is>
          <t>CPEF</t>
        </is>
      </c>
      <c r="F60" s="14" t="inlineStr">
        <is>
          <t>https://www.linkedin.com/search/results/people/?keywords=Niklas%20Kouparanis%20Bloomwell</t>
        </is>
      </c>
      <c r="G60" s="6" t="inlineStr">
        <is>
          <t>not found</t>
        </is>
      </c>
      <c r="H60" s="6" t="inlineStr">
        <is>
          <t>not found</t>
        </is>
      </c>
      <c r="I60" s="6" t="inlineStr">
        <is>
          <t>Greek-German founder</t>
        </is>
      </c>
      <c r="J60" s="15">
        <f>IF(I60&lt;&gt;"","Warm intro via "&amp;I60,IF(H60="published","Email + LinkedIn note same day",IF(AND(H60="pattern - unverified",F60&lt;&gt;"not found"),"LinkedIn first; verify email then follow up",IF(F60&lt;&gt;"not found","LinkedIn InMail / connection note","Firm switchboard or conference"))))</f>
        <v/>
      </c>
      <c r="K60" s="6" t="inlineStr">
        <is>
          <t>Greek-German founder; distribution partner and route to Artemis</t>
        </is>
      </c>
      <c r="L60" s="6" t="inlineStr">
        <is>
          <t>Medium - analyst knowledge [K]</t>
        </is>
      </c>
      <c r="M60" s="6" t="inlineStr">
        <is>
          <t>research briefing (cannabis)</t>
        </is>
      </c>
      <c r="N60" s="6" t="inlineStr">
        <is>
          <t>AM</t>
        </is>
      </c>
      <c r="O60" s="6" t="inlineStr">
        <is>
          <t>Not started</t>
        </is>
      </c>
    </row>
    <row r="61">
      <c r="A61" s="6" t="inlineStr">
        <is>
          <t>Organigram Global / Sanity Group</t>
        </is>
      </c>
      <c r="B61" s="6" t="inlineStr">
        <is>
          <t>Corporate development (name to verify)</t>
        </is>
      </c>
      <c r="C61" s="6" t="inlineStr">
        <is>
          <t>Strategic acquirer</t>
        </is>
      </c>
      <c r="D61" s="6" t="inlineStr">
        <is>
          <t>Strategic</t>
        </is>
      </c>
      <c r="E61" s="6" t="inlineStr">
        <is>
          <t>CPEF</t>
        </is>
      </c>
      <c r="F61" s="14" t="inlineStr">
        <is>
          <t>https://www.linkedin.com/search/results/people/?keywords=Organigram%20Sanity%20Group</t>
        </is>
      </c>
      <c r="G61" s="6" t="inlineStr">
        <is>
          <t>not found</t>
        </is>
      </c>
      <c r="H61" s="6" t="inlineStr">
        <is>
          <t>not found</t>
        </is>
      </c>
      <c r="I61" s="6" t="inlineStr"/>
      <c r="J61" s="15">
        <f>IF(I61&lt;&gt;"","Warm intro via "&amp;I61,IF(H61="published","Email + LinkedIn note same day",IF(AND(H61="pattern - unverified",F61&lt;&gt;"not found"),"LinkedIn first; verify email then follow up",IF(F61&lt;&gt;"not found","LinkedIn InMail / connection note","Firm switchboard or conference"))))</f>
        <v/>
      </c>
      <c r="K61" s="6" t="inlineStr">
        <is>
          <t>Convertible-then-acquire precedent (10% coupon, 36 months) for Curity</t>
        </is>
      </c>
      <c r="L61" s="6" t="inlineStr">
        <is>
          <t>Low</t>
        </is>
      </c>
      <c r="M61" s="6" t="inlineStr">
        <is>
          <t>research briefing (cannabis)</t>
        </is>
      </c>
      <c r="N61" s="6" t="inlineStr">
        <is>
          <t>AM</t>
        </is>
      </c>
      <c r="O61" s="6" t="inlineStr">
        <is>
          <t>Not started</t>
        </is>
      </c>
    </row>
    <row r="62">
      <c r="A62" s="6" t="inlineStr">
        <is>
          <t>Viola Credit</t>
        </is>
      </c>
      <c r="B62" s="6" t="inlineStr">
        <is>
          <t>European origination (name to verify)</t>
        </is>
      </c>
      <c r="C62" s="6" t="inlineStr">
        <is>
          <t>Venture lending / ABF; Israel-Europe</t>
        </is>
      </c>
      <c r="D62" s="6" t="inlineStr">
        <is>
          <t>Venture debt</t>
        </is>
      </c>
      <c r="E62" s="6" t="inlineStr">
        <is>
          <t>CPEF</t>
        </is>
      </c>
      <c r="F62" s="14" t="inlineStr">
        <is>
          <t>https://www.linkedin.com/search/results/people/?keywords=Viola%20Credit%20Europe</t>
        </is>
      </c>
      <c r="G62" s="6" t="inlineStr">
        <is>
          <t>not found</t>
        </is>
      </c>
      <c r="H62" s="6" t="inlineStr">
        <is>
          <t>not found</t>
        </is>
      </c>
      <c r="I62" s="6" t="inlineStr"/>
      <c r="J62" s="15">
        <f>IF(I62&lt;&gt;"","Warm intro via "&amp;I62,IF(H62="published","Email + LinkedIn note same day",IF(AND(H62="pattern - unverified",F62&lt;&gt;"not found"),"LinkedIn first; verify email then follow up",IF(F62&lt;&gt;"not found","LinkedIn InMail / connection note","Firm switchboard or conference"))))</f>
        <v/>
      </c>
      <c r="K62" s="6" t="inlineStr">
        <is>
          <t>Israeli lender familiar with regulated cannabis (InterCure / Bennu ecosystem); on the Cascade map</t>
        </is>
      </c>
      <c r="L62" s="6" t="inlineStr">
        <is>
          <t>Low</t>
        </is>
      </c>
      <c r="M62" s="6" t="inlineStr">
        <is>
          <t>Cascade map</t>
        </is>
      </c>
      <c r="N62" s="6" t="inlineStr">
        <is>
          <t>KM</t>
        </is>
      </c>
      <c r="O62" s="6" t="inlineStr">
        <is>
          <t>Not started</t>
        </is>
      </c>
    </row>
    <row r="63">
      <c r="A63" s="6" t="inlineStr">
        <is>
          <t>Threadmark</t>
        </is>
      </c>
      <c r="B63" s="6" t="inlineStr">
        <is>
          <t>Bruce Chapman (Managing Partner) [verify]</t>
        </is>
      </c>
      <c r="C63" s="6" t="inlineStr">
        <is>
          <t>Placement agent - first-time managers</t>
        </is>
      </c>
      <c r="D63" s="6" t="inlineStr">
        <is>
          <t>Placement</t>
        </is>
      </c>
      <c r="E63" s="6" t="inlineStr">
        <is>
          <t>IVP</t>
        </is>
      </c>
      <c r="F63" s="14" t="inlineStr">
        <is>
          <t>https://www.linkedin.com/search/results/people/?keywords=Bruce%20Chapman%20Threadmark</t>
        </is>
      </c>
      <c r="G63" s="6" t="inlineStr">
        <is>
          <t>not found</t>
        </is>
      </c>
      <c r="H63" s="6" t="inlineStr">
        <is>
          <t>not found</t>
        </is>
      </c>
      <c r="I63" s="6" t="inlineStr"/>
      <c r="J63" s="15">
        <f>IF(I63&lt;&gt;"","Warm intro via "&amp;I63,IF(H63="published","Email + LinkedIn note same day",IF(AND(H63="pattern - unverified",F63&lt;&gt;"not found"),"LinkedIn first; verify email then follow up",IF(F63&lt;&gt;"not found","LinkedIn InMail / connection note","Firm switchboard or conference"))))</f>
        <v/>
      </c>
      <c r="K63" s="6" t="inlineStr">
        <is>
          <t>Specialises in first-time / niche managers; success-fee IVP mandate</t>
        </is>
      </c>
      <c r="L63" s="6" t="inlineStr">
        <is>
          <t>Low - analyst knowledge [K]</t>
        </is>
      </c>
      <c r="M63" s="6" t="inlineStr">
        <is>
          <t>threadmark.com</t>
        </is>
      </c>
      <c r="N63" s="6" t="inlineStr">
        <is>
          <t>KM</t>
        </is>
      </c>
      <c r="O63" s="6" t="inlineStr">
        <is>
          <t>Not started</t>
        </is>
      </c>
    </row>
    <row r="64">
      <c r="A64" s="6" t="inlineStr">
        <is>
          <t>Elm Capital</t>
        </is>
      </c>
      <c r="B64" s="6" t="inlineStr">
        <is>
          <t>Etienne Deshormes (Managing Partner) [verify]</t>
        </is>
      </c>
      <c r="C64" s="6" t="inlineStr">
        <is>
          <t>Placement agent - boutique</t>
        </is>
      </c>
      <c r="D64" s="6" t="inlineStr">
        <is>
          <t>Placement</t>
        </is>
      </c>
      <c r="E64" s="6" t="inlineStr">
        <is>
          <t>IVP</t>
        </is>
      </c>
      <c r="F64" s="14" t="inlineStr">
        <is>
          <t>https://www.linkedin.com/search/results/people/?keywords=Etienne%20Deshormes%20Elm%20Capital</t>
        </is>
      </c>
      <c r="G64" s="6" t="inlineStr">
        <is>
          <t>not found</t>
        </is>
      </c>
      <c r="H64" s="6" t="inlineStr">
        <is>
          <t>not found</t>
        </is>
      </c>
      <c r="I64" s="6" t="inlineStr"/>
      <c r="J64" s="15">
        <f>IF(I64&lt;&gt;"","Warm intro via "&amp;I64,IF(H64="published","Email + LinkedIn note same day",IF(AND(H64="pattern - unverified",F64&lt;&gt;"not found"),"LinkedIn first; verify email then follow up",IF(F64&lt;&gt;"not found","LinkedIn InMail / connection note","Firm switchboard or conference"))))</f>
        <v/>
      </c>
      <c r="K64" s="6" t="inlineStr">
        <is>
          <t>€50m to €200m raises; credit and impact</t>
        </is>
      </c>
      <c r="L64" s="6" t="inlineStr">
        <is>
          <t>Low - analyst knowledge [K]</t>
        </is>
      </c>
      <c r="M64" s="6" t="inlineStr">
        <is>
          <t>Companies House / LinkedIn</t>
        </is>
      </c>
      <c r="N64" s="6" t="inlineStr">
        <is>
          <t>KM</t>
        </is>
      </c>
      <c r="O64" s="6" t="inlineStr">
        <is>
          <t>Not started</t>
        </is>
      </c>
    </row>
    <row r="65">
      <c r="A65" s="6" t="inlineStr">
        <is>
          <t>Cebile Capital</t>
        </is>
      </c>
      <c r="B65" s="6" t="inlineStr">
        <is>
          <t>Sunaina Sinha Haldea (Founder) [verify]</t>
        </is>
      </c>
      <c r="C65" s="6" t="inlineStr">
        <is>
          <t>Placement agent - impact / emerging</t>
        </is>
      </c>
      <c r="D65" s="6" t="inlineStr">
        <is>
          <t>Placement</t>
        </is>
      </c>
      <c r="E65" s="6" t="inlineStr">
        <is>
          <t>IVP</t>
        </is>
      </c>
      <c r="F65" s="14" t="inlineStr">
        <is>
          <t>https://www.linkedin.com/search/results/people/?keywords=Sunaina%20Sinha%20Cebile%20Capital</t>
        </is>
      </c>
      <c r="G65" s="6" t="inlineStr">
        <is>
          <t>not found</t>
        </is>
      </c>
      <c r="H65" s="6" t="inlineStr">
        <is>
          <t>not found</t>
        </is>
      </c>
      <c r="I65" s="6" t="inlineStr"/>
      <c r="J65" s="15">
        <f>IF(I65&lt;&gt;"","Warm intro via "&amp;I65,IF(H65="published","Email + LinkedIn note same day",IF(AND(H65="pattern - unverified",F65&lt;&gt;"not found"),"LinkedIn first; verify email then follow up",IF(F65&lt;&gt;"not found","LinkedIn InMail / connection note","Firm switchboard or conference"))))</f>
        <v/>
      </c>
      <c r="K65" s="6" t="inlineStr">
        <is>
          <t>Emerging-manager and impact specialist</t>
        </is>
      </c>
      <c r="L65" s="6" t="inlineStr">
        <is>
          <t>Low - analyst knowledge [K]</t>
        </is>
      </c>
      <c r="M65" s="6" t="inlineStr">
        <is>
          <t>[K]</t>
        </is>
      </c>
      <c r="N65" s="6" t="inlineStr">
        <is>
          <t>KM</t>
        </is>
      </c>
      <c r="O65" s="6" t="inlineStr">
        <is>
          <t>Not started</t>
        </is>
      </c>
    </row>
    <row r="66">
      <c r="A66" s="6" t="inlineStr">
        <is>
          <t>Alantra (Athens office)</t>
        </is>
      </c>
      <c r="B66" s="6" t="inlineStr">
        <is>
          <t>Athens office head (name to verify)</t>
        </is>
      </c>
      <c r="C66" s="6" t="inlineStr">
        <is>
          <t>Mid-market advisory and private debt</t>
        </is>
      </c>
      <c r="D66" s="6" t="inlineStr">
        <is>
          <t>Advisor / lender</t>
        </is>
      </c>
      <c r="E66" s="6" t="inlineStr">
        <is>
          <t>IVP / IPL</t>
        </is>
      </c>
      <c r="F66" s="14" t="inlineStr">
        <is>
          <t>https://www.linkedin.com/search/results/people/?keywords=Alantra%20Athens</t>
        </is>
      </c>
      <c r="G66" s="6" t="inlineStr">
        <is>
          <t>not found</t>
        </is>
      </c>
      <c r="H66" s="6" t="inlineStr">
        <is>
          <t>not found</t>
        </is>
      </c>
      <c r="I66" s="6" t="inlineStr"/>
      <c r="J66" s="15">
        <f>IF(I66&lt;&gt;"","Warm intro via "&amp;I66,IF(H66="published","Email + LinkedIn note same day",IF(AND(H66="pattern - unverified",F66&lt;&gt;"not found"),"LinkedIn first; verify email then follow up",IF(F66&lt;&gt;"not found","LinkedIn InMail / connection note","Firm switchboard or conference"))))</f>
        <v/>
      </c>
      <c r="K66" s="6" t="inlineStr">
        <is>
          <t>Greek office of a Cascade-map private-debt manager; advisory plus lending</t>
        </is>
      </c>
      <c r="L66" s="6" t="inlineStr">
        <is>
          <t>Low</t>
        </is>
      </c>
      <c r="M66" s="6" t="inlineStr">
        <is>
          <t>Cascade map</t>
        </is>
      </c>
      <c r="N66" s="6" t="inlineStr">
        <is>
          <t>AM</t>
        </is>
      </c>
      <c r="O66" s="6" t="inlineStr">
        <is>
          <t>Not started</t>
        </is>
      </c>
    </row>
    <row r="67">
      <c r="A67" s="6" t="inlineStr">
        <is>
          <t>BASF (ChemCycling / Pyrum stake)</t>
        </is>
      </c>
      <c r="B67" s="6" t="inlineStr">
        <is>
          <t>ChemCycling business lead (name to verify)</t>
        </is>
      </c>
      <c r="C67" s="6" t="inlineStr">
        <is>
          <t>Offtaker / strategic investor in Pyrum</t>
        </is>
      </c>
      <c r="D67" s="6" t="inlineStr">
        <is>
          <t>Strategic</t>
        </is>
      </c>
      <c r="E67" s="6" t="inlineStr">
        <is>
          <t>IPL</t>
        </is>
      </c>
      <c r="F67" s="14" t="inlineStr">
        <is>
          <t>https://www.linkedin.com/search/results/people/?keywords=BASF%20ChemCycling%20pyrolysis%20oil</t>
        </is>
      </c>
      <c r="G67" s="6" t="inlineStr">
        <is>
          <t>not found</t>
        </is>
      </c>
      <c r="H67" s="6" t="inlineStr">
        <is>
          <t>not found</t>
        </is>
      </c>
      <c r="I67" s="6" t="inlineStr">
        <is>
          <t>Pyrum</t>
        </is>
      </c>
      <c r="J67" s="15">
        <f>IF(I67&lt;&gt;"","Warm intro via "&amp;I67,IF(H67="published","Email + LinkedIn note same day",IF(AND(H67="pattern - unverified",F67&lt;&gt;"not found"),"LinkedIn first; verify email then follow up",IF(F67&lt;&gt;"not found","LinkedIn InMail / connection note","Firm switchboard or conference"))))</f>
        <v/>
      </c>
      <c r="K67" s="6" t="inlineStr">
        <is>
          <t>Convert HoT into take-or-pay with prepayment (bp / Circtec precedent: €12.5m debt + 8-year offtake)</t>
        </is>
      </c>
      <c r="L67" s="6" t="inlineStr">
        <is>
          <t>Low</t>
        </is>
      </c>
      <c r="M67" s="6" t="inlineStr">
        <is>
          <t>BASF press 2020; Circtec release May 2024</t>
        </is>
      </c>
      <c r="N67" s="6" t="inlineStr">
        <is>
          <t>KM</t>
        </is>
      </c>
      <c r="O67" s="6" t="inlineStr">
        <is>
          <t>Not started</t>
        </is>
      </c>
    </row>
    <row r="68">
      <c r="A68" s="6" t="inlineStr">
        <is>
          <t>Continental (via Pyrum framework)</t>
        </is>
      </c>
      <c r="B68" s="6" t="inlineStr">
        <is>
          <t>Continental sustainability / rCB procurement (name to verify)</t>
        </is>
      </c>
      <c r="C68" s="6" t="inlineStr">
        <is>
          <t>rCB offtaker with advance-payment precedent</t>
        </is>
      </c>
      <c r="D68" s="6" t="inlineStr">
        <is>
          <t>Strategic</t>
        </is>
      </c>
      <c r="E68" s="6" t="inlineStr">
        <is>
          <t>IPL</t>
        </is>
      </c>
      <c r="F68" s="14" t="inlineStr">
        <is>
          <t>https://www.linkedin.com/search/results/people/?keywords=Continental%20recovered%20carbon%20black%20Pyrum</t>
        </is>
      </c>
      <c r="G68" s="6" t="inlineStr">
        <is>
          <t>not found</t>
        </is>
      </c>
      <c r="H68" s="6" t="inlineStr">
        <is>
          <t>not found</t>
        </is>
      </c>
      <c r="I68" s="6" t="inlineStr">
        <is>
          <t>Pyrum</t>
        </is>
      </c>
      <c r="J68" s="15">
        <f>IF(I68&lt;&gt;"","Warm intro via "&amp;I68,IF(H68="published","Email + LinkedIn note same day",IF(AND(H68="pattern - unverified",F68&lt;&gt;"not found"),"LinkedIn first; verify email then follow up",IF(F68&lt;&gt;"not found","LinkedIn InMail / connection note","Firm switchboard or conference"))))</f>
        <v/>
      </c>
      <c r="K68" s="6" t="inlineStr">
        <is>
          <t>Supplier-approval letter for EIB; advance payment for Line A rCB</t>
        </is>
      </c>
      <c r="L68" s="6" t="inlineStr">
        <is>
          <t>Low</t>
        </is>
      </c>
      <c r="M68" s="6" t="inlineStr">
        <is>
          <t>Pyrum / Continental release 30-07-2024</t>
        </is>
      </c>
      <c r="N68" s="6" t="inlineStr">
        <is>
          <t>KM</t>
        </is>
      </c>
      <c r="O68" s="6" t="inlineStr">
        <is>
          <t>Not started</t>
        </is>
      </c>
    </row>
    <row r="69">
      <c r="A69" s="6" t="inlineStr">
        <is>
          <t>Ecoelastika S.A.</t>
        </is>
      </c>
      <c r="B69" s="6" t="inlineStr">
        <is>
          <t>Board / general manager (existing relationship)</t>
        </is>
      </c>
      <c r="C69" s="6" t="inlineStr">
        <is>
          <t>Statutory ELT collector</t>
        </is>
      </c>
      <c r="D69" s="6" t="inlineStr">
        <is>
          <t>Feedstock</t>
        </is>
      </c>
      <c r="E69" s="6" t="inlineStr">
        <is>
          <t>IPL</t>
        </is>
      </c>
      <c r="F69" s="14" t="inlineStr">
        <is>
          <t>https://www.linkedin.com/search/results/people/?keywords=Ecoelastika%20</t>
        </is>
      </c>
      <c r="G69" s="6" t="inlineStr">
        <is>
          <t>not found</t>
        </is>
      </c>
      <c r="H69" s="6" t="inlineStr">
        <is>
          <t>not found</t>
        </is>
      </c>
      <c r="I69" s="6" t="inlineStr">
        <is>
          <t>Direct (BoD meeting May 2025)</t>
        </is>
      </c>
      <c r="J69" s="15">
        <f>IF(I69&lt;&gt;"","Warm intro via "&amp;I69,IF(H69="published","Email + LinkedIn note same day",IF(AND(H69="pattern - unverified",F69&lt;&gt;"not found"),"LinkedIn first; verify email then follow up",IF(F69&lt;&gt;"not found","LinkedIn InMail / connection note","Firm switchboard or conference"))))</f>
        <v/>
      </c>
      <c r="K69" s="6" t="inlineStr">
        <is>
          <t>Amendment No.2: gate fee across whole throughput is worth c.€1.7m of senior capacity per €10/t</t>
        </is>
      </c>
      <c r="L69" s="6" t="inlineStr">
        <is>
          <t>High</t>
        </is>
      </c>
      <c r="M69" s="6" t="inlineStr">
        <is>
          <t>Investor tracker; PMO MoM</t>
        </is>
      </c>
      <c r="N69" s="6" t="inlineStr">
        <is>
          <t>KM</t>
        </is>
      </c>
      <c r="O69" s="6" t="inlineStr">
        <is>
          <t>Not started</t>
        </is>
      </c>
    </row>
    <row r="70">
      <c r="A70" s="6" t="inlineStr">
        <is>
          <t>Growthfund / HCAP</t>
        </is>
      </c>
      <c r="B70" s="6" t="inlineStr">
        <is>
          <t>Investment team (name to verify)</t>
        </is>
      </c>
      <c r="C70" s="6" t="inlineStr">
        <is>
          <t>Greek sovereign holding</t>
        </is>
      </c>
      <c r="D70" s="6" t="inlineStr">
        <is>
          <t>Sovereign</t>
        </is>
      </c>
      <c r="E70" s="6" t="inlineStr">
        <is>
          <t>IVP</t>
        </is>
      </c>
      <c r="F70" s="14" t="inlineStr">
        <is>
          <t>https://www.linkedin.com/search/results/people/?keywords=Growthfund%20HCAP</t>
        </is>
      </c>
      <c r="G70" s="6" t="inlineStr">
        <is>
          <t>not found</t>
        </is>
      </c>
      <c r="H70" s="6" t="inlineStr">
        <is>
          <t>not found</t>
        </is>
      </c>
      <c r="I70" s="6" t="inlineStr"/>
      <c r="J70" s="15">
        <f>IF(I70&lt;&gt;"","Warm intro via "&amp;I70,IF(H70="published","Email + LinkedIn note same day",IF(AND(H70="pattern - unverified",F70&lt;&gt;"not found"),"LinkedIn first; verify email then follow up",IF(F70&lt;&gt;"not found","LinkedIn InMail / connection note","Firm switchboard or conference"))))</f>
        <v/>
      </c>
      <c r="K70" s="6" t="inlineStr">
        <is>
          <t>IVP only; BlackRock FMA advising</t>
        </is>
      </c>
      <c r="L70" s="6" t="inlineStr">
        <is>
          <t>Low</t>
        </is>
      </c>
      <c r="M70" s="6" t="inlineStr">
        <is>
          <t>growthfund.gr</t>
        </is>
      </c>
      <c r="N70" s="6" t="inlineStr">
        <is>
          <t>AM</t>
        </is>
      </c>
      <c r="O70" s="6" t="inlineStr">
        <is>
          <t>Not started</t>
        </is>
      </c>
    </row>
    <row r="71">
      <c r="A71" s="6" t="inlineStr">
        <is>
          <t>Piraeus Bank - Structured Finance</t>
        </is>
      </c>
      <c r="B71" s="6" t="inlineStr">
        <is>
          <t>Head of Project Finance (name to verify)</t>
        </is>
      </c>
      <c r="C71" s="6" t="inlineStr">
        <is>
          <t>Greek bank PF desk</t>
        </is>
      </c>
      <c r="D71" s="6" t="inlineStr">
        <is>
          <t>Greek bank</t>
        </is>
      </c>
      <c r="E71" s="6" t="inlineStr">
        <is>
          <t>IPL</t>
        </is>
      </c>
      <c r="F71" s="14" t="inlineStr">
        <is>
          <t>https://www.linkedin.com/search/results/people/?keywords=Piraeus%20Bank%20project%20finance</t>
        </is>
      </c>
      <c r="G71" s="6" t="inlineStr">
        <is>
          <t>not found</t>
        </is>
      </c>
      <c r="H71" s="6" t="inlineStr">
        <is>
          <t>not found</t>
        </is>
      </c>
      <c r="I71" s="6" t="inlineStr">
        <is>
          <t>PwC Greece / Axia</t>
        </is>
      </c>
      <c r="J71" s="15">
        <f>IF(I71&lt;&gt;"","Warm intro via "&amp;I71,IF(H71="published","Email + LinkedIn note same day",IF(AND(H71="pattern - unverified",F71&lt;&gt;"not found"),"LinkedIn first; verify email then follow up",IF(F71&lt;&gt;"not found","LinkedIn InMail / connection note","Firm switchboard or conference"))))</f>
        <v/>
      </c>
      <c r="K71" s="6" t="inlineStr">
        <is>
          <t>Competing senior bid; EIB €950m on-lending line</t>
        </is>
      </c>
      <c r="L71" s="6" t="inlineStr">
        <is>
          <t>Low</t>
        </is>
      </c>
      <c r="M71" s="6" t="inlineStr">
        <is>
          <t>EIB press 2026-041</t>
        </is>
      </c>
      <c r="N71" s="6" t="inlineStr">
        <is>
          <t>Venero</t>
        </is>
      </c>
      <c r="O71" s="6" t="inlineStr">
        <is>
          <t>Not started</t>
        </is>
      </c>
    </row>
    <row r="72">
      <c r="A72" s="6" t="inlineStr">
        <is>
          <t>Eurobank - Project Finance</t>
        </is>
      </c>
      <c r="B72" s="6" t="inlineStr">
        <is>
          <t>Head of Project Finance (name to verify)</t>
        </is>
      </c>
      <c r="C72" s="6" t="inlineStr">
        <is>
          <t>Greek bank PF desk</t>
        </is>
      </c>
      <c r="D72" s="6" t="inlineStr">
        <is>
          <t>Greek bank</t>
        </is>
      </c>
      <c r="E72" s="6" t="inlineStr">
        <is>
          <t>IPL</t>
        </is>
      </c>
      <c r="F72" s="14" t="inlineStr">
        <is>
          <t>https://www.linkedin.com/search/results/people/?keywords=Eurobank%20project%20finance</t>
        </is>
      </c>
      <c r="G72" s="6" t="inlineStr">
        <is>
          <t>not found</t>
        </is>
      </c>
      <c r="H72" s="6" t="inlineStr">
        <is>
          <t>not found</t>
        </is>
      </c>
      <c r="I72" s="6" t="inlineStr">
        <is>
          <t>Argus (Eurobank Cyprus depositary)</t>
        </is>
      </c>
      <c r="J72" s="15">
        <f>IF(I72&lt;&gt;"","Warm intro via "&amp;I72,IF(H72="published","Email + LinkedIn note same day",IF(AND(H72="pattern - unverified",F72&lt;&gt;"not found"),"LinkedIn first; verify email then follow up",IF(F72&lt;&gt;"not found","LinkedIn InMail / connection note","Firm switchboard or conference"))))</f>
        <v/>
      </c>
      <c r="K72" s="6" t="inlineStr">
        <is>
          <t>Competing senior bid; Eurobank Cyprus capital-call line for PE Fund</t>
        </is>
      </c>
      <c r="L72" s="6" t="inlineStr">
        <is>
          <t>Low</t>
        </is>
      </c>
      <c r="M72" s="6" t="inlineStr">
        <is>
          <t>EIF press 2025-343</t>
        </is>
      </c>
      <c r="N72" s="6" t="inlineStr">
        <is>
          <t>Venero</t>
        </is>
      </c>
      <c r="O72" s="6" t="inlineStr">
        <is>
          <t>Not started</t>
        </is>
      </c>
    </row>
  </sheetData>
  <autoFilter ref="A4:O72"/>
  <dataValidations count="2">
    <dataValidation sqref="O5:O72" showDropDown="0" showInputMessage="0" showErrorMessage="0" allowBlank="1" type="list">
      <formula1>"Not started,Intro requested,Contacted,Replied,Meeting,NDA / data room,Term sheet,Declined,Parked"</formula1>
    </dataValidation>
    <dataValidation sqref="H5:H72" showDropDown="0" showInputMessage="0" showErrorMessage="0" allowBlank="1" type="list">
      <formula1>"published,pattern - unverified,not found"</formula1>
    </dataValidation>
  </dataValidation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7" r:id="rId20"/>
    <hyperlink xmlns:r="http://schemas.openxmlformats.org/officeDocument/2006/relationships" ref="F29" r:id="rId21"/>
    <hyperlink xmlns:r="http://schemas.openxmlformats.org/officeDocument/2006/relationships" ref="F30" r:id="rId22"/>
    <hyperlink xmlns:r="http://schemas.openxmlformats.org/officeDocument/2006/relationships" ref="F31" r:id="rId23"/>
    <hyperlink xmlns:r="http://schemas.openxmlformats.org/officeDocument/2006/relationships" ref="F32" r:id="rId24"/>
    <hyperlink xmlns:r="http://schemas.openxmlformats.org/officeDocument/2006/relationships" ref="F33" r:id="rId25"/>
    <hyperlink xmlns:r="http://schemas.openxmlformats.org/officeDocument/2006/relationships" ref="F35" r:id="rId26"/>
    <hyperlink xmlns:r="http://schemas.openxmlformats.org/officeDocument/2006/relationships" ref="F38" r:id="rId27"/>
    <hyperlink xmlns:r="http://schemas.openxmlformats.org/officeDocument/2006/relationships" ref="F39" r:id="rId28"/>
    <hyperlink xmlns:r="http://schemas.openxmlformats.org/officeDocument/2006/relationships" ref="F40" r:id="rId29"/>
    <hyperlink xmlns:r="http://schemas.openxmlformats.org/officeDocument/2006/relationships" ref="F41" r:id="rId30"/>
    <hyperlink xmlns:r="http://schemas.openxmlformats.org/officeDocument/2006/relationships" ref="F42" r:id="rId31"/>
    <hyperlink xmlns:r="http://schemas.openxmlformats.org/officeDocument/2006/relationships" ref="F43" r:id="rId32"/>
    <hyperlink xmlns:r="http://schemas.openxmlformats.org/officeDocument/2006/relationships" ref="F44" r:id="rId33"/>
    <hyperlink xmlns:r="http://schemas.openxmlformats.org/officeDocument/2006/relationships" ref="F45" r:id="rId34"/>
    <hyperlink xmlns:r="http://schemas.openxmlformats.org/officeDocument/2006/relationships" ref="F46" r:id="rId35"/>
    <hyperlink xmlns:r="http://schemas.openxmlformats.org/officeDocument/2006/relationships" ref="F47" r:id="rId36"/>
    <hyperlink xmlns:r="http://schemas.openxmlformats.org/officeDocument/2006/relationships" ref="F48" r:id="rId37"/>
    <hyperlink xmlns:r="http://schemas.openxmlformats.org/officeDocument/2006/relationships" ref="F49" r:id="rId38"/>
    <hyperlink xmlns:r="http://schemas.openxmlformats.org/officeDocument/2006/relationships" ref="F50" r:id="rId39"/>
    <hyperlink xmlns:r="http://schemas.openxmlformats.org/officeDocument/2006/relationships" ref="F51" r:id="rId40"/>
    <hyperlink xmlns:r="http://schemas.openxmlformats.org/officeDocument/2006/relationships" ref="F52" r:id="rId41"/>
    <hyperlink xmlns:r="http://schemas.openxmlformats.org/officeDocument/2006/relationships" ref="F53" r:id="rId42"/>
    <hyperlink xmlns:r="http://schemas.openxmlformats.org/officeDocument/2006/relationships" ref="F54" r:id="rId43"/>
    <hyperlink xmlns:r="http://schemas.openxmlformats.org/officeDocument/2006/relationships" ref="F55" r:id="rId44"/>
    <hyperlink xmlns:r="http://schemas.openxmlformats.org/officeDocument/2006/relationships" ref="F56" r:id="rId45"/>
    <hyperlink xmlns:r="http://schemas.openxmlformats.org/officeDocument/2006/relationships" ref="F57" r:id="rId46"/>
    <hyperlink xmlns:r="http://schemas.openxmlformats.org/officeDocument/2006/relationships" ref="F58" r:id="rId47"/>
    <hyperlink xmlns:r="http://schemas.openxmlformats.org/officeDocument/2006/relationships" ref="F59" r:id="rId48"/>
    <hyperlink xmlns:r="http://schemas.openxmlformats.org/officeDocument/2006/relationships" ref="F60" r:id="rId49"/>
    <hyperlink xmlns:r="http://schemas.openxmlformats.org/officeDocument/2006/relationships" ref="F61" r:id="rId50"/>
    <hyperlink xmlns:r="http://schemas.openxmlformats.org/officeDocument/2006/relationships" ref="F62" r:id="rId51"/>
    <hyperlink xmlns:r="http://schemas.openxmlformats.org/officeDocument/2006/relationships" ref="F63" r:id="rId52"/>
    <hyperlink xmlns:r="http://schemas.openxmlformats.org/officeDocument/2006/relationships" ref="F64" r:id="rId53"/>
    <hyperlink xmlns:r="http://schemas.openxmlformats.org/officeDocument/2006/relationships" ref="F65" r:id="rId54"/>
    <hyperlink xmlns:r="http://schemas.openxmlformats.org/officeDocument/2006/relationships" ref="F66" r:id="rId55"/>
    <hyperlink xmlns:r="http://schemas.openxmlformats.org/officeDocument/2006/relationships" ref="F67" r:id="rId56"/>
    <hyperlink xmlns:r="http://schemas.openxmlformats.org/officeDocument/2006/relationships" ref="F68" r:id="rId57"/>
    <hyperlink xmlns:r="http://schemas.openxmlformats.org/officeDocument/2006/relationships" ref="F69" r:id="rId58"/>
    <hyperlink xmlns:r="http://schemas.openxmlformats.org/officeDocument/2006/relationships" ref="F70" r:id="rId59"/>
    <hyperlink xmlns:r="http://schemas.openxmlformats.org/officeDocument/2006/relationships" ref="F71" r:id="rId60"/>
    <hyperlink xmlns:r="http://schemas.openxmlformats.org/officeDocument/2006/relationships" ref="F72" r:id="rId61"/>
  </hyperlinks>
  <pageMargins left="0.75" right="0.75" top="1" bottom="1" header="0.5" footer="0.5"/>
</worksheet>
</file>

<file path=xl/worksheets/sheet8.xml><?xml version="1.0" encoding="utf-8"?>
<worksheet xmlns="http://schemas.openxmlformats.org/spreadsheetml/2006/main">
  <sheetPr>
    <tabColor rgb="007F7F7F"/>
    <outlinePr summaryBelow="1" summaryRight="1"/>
    <pageSetUpPr/>
  </sheetPr>
  <dimension ref="A1:G3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26" customWidth="1" min="2" max="2"/>
    <col width="12" customWidth="1" min="3" max="3"/>
    <col width="55" customWidth="1" min="4" max="4"/>
    <col width="18" customWidth="1" min="5" max="5"/>
    <col width="55" customWidth="1" min="6" max="6"/>
    <col width="34" customWidth="1" min="7" max="7"/>
  </cols>
  <sheetData>
    <row r="1">
      <c r="A1" s="1" t="inlineStr">
        <is>
          <t>Existing and warm relationships already in Impactus records (Outlook, SharePoint tracker, Fathom calls)</t>
        </is>
      </c>
    </row>
    <row r="2">
      <c r="A2" s="2" t="inlineStr">
        <is>
          <t>Use these paths before any cold outreach - a warm introduction converts 5x to 10x better than a cold LinkedIn message (see Outreach_Plan)</t>
        </is>
      </c>
    </row>
    <row r="4" ht="30" customHeight="1">
      <c r="A4" s="5" t="inlineStr">
        <is>
          <t>Counterparty</t>
        </is>
      </c>
      <c r="B4" s="5" t="inlineStr">
        <is>
          <t>Type</t>
        </is>
      </c>
      <c r="C4" s="5" t="inlineStr">
        <is>
          <t>Owner</t>
        </is>
      </c>
      <c r="D4" s="5" t="inlineStr">
        <is>
          <t>Status / last step</t>
        </is>
      </c>
      <c r="E4" s="5" t="inlineStr">
        <is>
          <t>Relevance</t>
        </is>
      </c>
      <c r="F4" s="5" t="inlineStr">
        <is>
          <t>Suggested next action</t>
        </is>
      </c>
      <c r="G4" s="5" t="inlineStr">
        <is>
          <t>Source</t>
        </is>
      </c>
    </row>
    <row r="5">
      <c r="A5" s="6" t="inlineStr">
        <is>
          <t>Credia Bank (Structured Finance) - Evangelos Mitrou, Christos Masouras, Christos Iliopoulos</t>
        </is>
      </c>
      <c r="B5" s="6" t="inlineStr">
        <is>
          <t>Greek bank - senior project debt</t>
        </is>
      </c>
      <c r="C5" s="6" t="inlineStr">
        <is>
          <t>KM / Venero</t>
        </is>
      </c>
      <c r="D5" s="6" t="inlineStr">
        <is>
          <t>Non-binding LOI for CINEA delivered Aug 2026; indicative 6.5%, 4+10y, 1.3x DSCR; credit process on firm EPC price</t>
        </is>
      </c>
      <c r="E5" s="6" t="inlineStr">
        <is>
          <t>IPL senior</t>
        </is>
      </c>
      <c r="F5" s="6" t="inlineStr">
        <is>
          <t>Bring firm EPC price 31-10; run TÜV Nord TDD in parallel; agree CP list (Papageorgantas list of 15-09)</t>
        </is>
      </c>
      <c r="G5" s="6" t="inlineStr">
        <is>
          <t>Outlook thread 'Credia &lt;&gt; Impactus' Jul-Aug 2026</t>
        </is>
      </c>
    </row>
    <row r="6">
      <c r="A6" s="6" t="inlineStr">
        <is>
          <t>EIB Venture Debt team (Stephan)</t>
        </is>
      </c>
      <c r="B6" s="6" t="inlineStr">
        <is>
          <t>DFI - venture debt</t>
        </is>
      </c>
      <c r="C6" s="6" t="inlineStr">
        <is>
          <t>KM / Sirec Energy</t>
        </is>
      </c>
      <c r="D6" s="6" t="inlineStr">
        <is>
          <t>Committee discussed project 14-09-2026; clarifications on Credia CPs, Continental audit letter, Sokolov comparison</t>
        </is>
      </c>
      <c r="E6" s="6" t="inlineStr">
        <is>
          <t>IPL VD €35m alternative / complement</t>
        </is>
      </c>
      <c r="F6" s="6" t="inlineStr">
        <is>
          <t>Answer three questions within the week; obtain Continental supplier-approval letter via Pyrum</t>
        </is>
      </c>
      <c r="G6" s="6" t="inlineStr">
        <is>
          <t>Outlook 'EIB responses - follow up' 15-09-2026</t>
        </is>
      </c>
    </row>
    <row r="7">
      <c r="A7" s="6" t="inlineStr">
        <is>
          <t>HIIF (institutional investor assessing €35m VD)</t>
        </is>
      </c>
      <c r="B7" s="6" t="inlineStr">
        <is>
          <t>Impact / infrastructure investor</t>
        </is>
      </c>
      <c r="C7" s="6" t="inlineStr">
        <is>
          <t>KM</t>
        </is>
      </c>
      <c r="D7" s="6" t="inlineStr">
        <is>
          <t>€35m at 10% blended offered; internal assessment; Impactus priority: firm commitment by Dec 2026</t>
        </is>
      </c>
      <c r="E7" s="6" t="inlineStr">
        <is>
          <t>IPL VD</t>
        </is>
      </c>
      <c r="F7" s="6" t="inlineStr">
        <is>
          <t>Re-cut as staged commitment (development tranche now, construction tranche at FID) before the PMO reset reaches them</t>
        </is>
      </c>
      <c r="G7" s="6" t="inlineStr">
        <is>
          <t>PMO MoM 03-09-2026; Snapshot p.9</t>
        </is>
      </c>
    </row>
    <row r="8">
      <c r="A8" s="6" t="inlineStr">
        <is>
          <t>Sirec Energy (George Papageorgantas, Dionissis Alissandratos)</t>
        </is>
      </c>
      <c r="B8" s="6" t="inlineStr">
        <is>
          <t>Greek energy fund - co-investor</t>
        </is>
      </c>
      <c r="C8" s="6" t="inlineStr">
        <is>
          <t>KM</t>
        </is>
      </c>
      <c r="D8" s="6" t="inlineStr">
        <is>
          <t>Term sheet executed Mar 2026 at c.€34m post-money for Thermo Lysi; advising on EIB</t>
        </is>
      </c>
      <c r="E8" s="6" t="inlineStr">
        <is>
          <t>IPL equity / advisory</t>
        </is>
      </c>
      <c r="F8" s="6" t="inlineStr">
        <is>
          <t>Use as reference co-investor in outreach; ask for EIB and Greek bank introductions</t>
        </is>
      </c>
      <c r="G8" s="6" t="inlineStr">
        <is>
          <t>Outlook 17-09-2026 to Muhanna; EIB thread</t>
        </is>
      </c>
    </row>
    <row r="9">
      <c r="A9" s="6" t="inlineStr">
        <is>
          <t>EMMA Capital</t>
        </is>
      </c>
      <c r="B9" s="6" t="inlineStr">
        <is>
          <t>Investor - term sheet</t>
        </is>
      </c>
      <c r="C9" s="6" t="inlineStr">
        <is>
          <t>AM</t>
        </is>
      </c>
      <c r="D9" s="6" t="inlineStr">
        <is>
          <t>TS submitted 15-10-2025; €4.54m loan capital referenced</t>
        </is>
      </c>
      <c r="E9" s="6" t="inlineStr">
        <is>
          <t>IPL / Thermo Lysi</t>
        </is>
      </c>
      <c r="F9" s="6" t="inlineStr">
        <is>
          <t>Confirm status; if lapsed, re-approach with Sep 2026 pack</t>
        </is>
      </c>
      <c r="G9" s="6" t="inlineStr">
        <is>
          <t>Investor tracker 22-10-2025</t>
        </is>
      </c>
    </row>
    <row r="10">
      <c r="A10" s="6" t="inlineStr">
        <is>
          <t>Argus Management (AIFM) channel: ETYK, PEO, Cyta, Lawyers' Provident Funds; JP Morgan, Blackstone, Schroders</t>
        </is>
      </c>
      <c r="B10" s="6" t="inlineStr">
        <is>
          <t>Cyprus provident funds / global AMs via AIFM</t>
        </is>
      </c>
      <c r="C10" s="6" t="inlineStr">
        <is>
          <t>AM / Argus</t>
        </is>
      </c>
      <c r="D10" s="6" t="inlineStr">
        <is>
          <t>ETYK and PEO €1m each estimated; IVP deck presented to three banks - initial interest</t>
        </is>
      </c>
      <c r="E10" s="6" t="inlineStr">
        <is>
          <t>IPL €5m; IVP</t>
        </is>
      </c>
      <c r="F10" s="6" t="inlineStr">
        <is>
          <t>Convert ETYK/PEO IC presentations; structure a fund-level note the provident funds can hold</t>
        </is>
      </c>
      <c r="G10" s="6" t="inlineStr">
        <is>
          <t>Investor tracker 03-08-2026</t>
        </is>
      </c>
    </row>
    <row r="11">
      <c r="A11" s="6" t="inlineStr">
        <is>
          <t>Muhanna &amp; Co (Marinos Theodosiou) - Doctors' Provident Fund (Tameio Iatron)</t>
        </is>
      </c>
      <c r="B11" s="6" t="inlineStr">
        <is>
          <t>Cyprus pension administrator / LP</t>
        </is>
      </c>
      <c r="C11" s="6" t="inlineStr">
        <is>
          <t>KM</t>
        </is>
      </c>
      <c r="D11" s="6" t="inlineStr">
        <is>
          <t>Existing shareholder (415 shares, 4.73%); EY audit queries on fair value answered 17-09-2026</t>
        </is>
      </c>
      <c r="E11" s="6" t="inlineStr">
        <is>
          <t>IPL follow-on; gateway to other funds</t>
        </is>
      </c>
      <c r="F11" s="6" t="inlineStr">
        <is>
          <t>Close the IFRS 13 point with EY; then ask Muhanna for introductions to the other funds it administers</t>
        </is>
      </c>
      <c r="G11" s="6" t="inlineStr">
        <is>
          <t>Outlook 'Re: Impactus Pyrolisis' 17-09-2026</t>
        </is>
      </c>
    </row>
    <row r="12">
      <c r="A12" s="6" t="inlineStr">
        <is>
          <t>KPMG Cyprus (Christos Vasiliou)</t>
        </is>
      </c>
      <c r="B12" s="6" t="inlineStr">
        <is>
          <t>Adviser - placement mandate €150-200m</t>
        </is>
      </c>
      <c r="C12" s="6" t="inlineStr">
        <is>
          <t>AM</t>
        </is>
      </c>
      <c r="D12" s="6" t="inlineStr">
        <is>
          <t>Mandate to raise c.€150-200m (Oct 2025); KPMG Sweden follow-up</t>
        </is>
      </c>
      <c r="E12" s="6" t="inlineStr">
        <is>
          <t>IVP</t>
        </is>
      </c>
      <c r="F12" s="6" t="inlineStr">
        <is>
          <t>Demand a named target list and a 90-day plan from KPMG; tie fee to first close</t>
        </is>
      </c>
      <c r="G12" s="6" t="inlineStr">
        <is>
          <t>Investor tracker 22-10-2025</t>
        </is>
      </c>
    </row>
    <row r="13">
      <c r="A13" s="6" t="inlineStr">
        <is>
          <t>Axia Ventures (Antonis Achilleoudis)</t>
        </is>
      </c>
      <c r="B13" s="6" t="inlineStr">
        <is>
          <t>Greek/Cypriot investment bank</t>
        </is>
      </c>
      <c r="C13" s="6" t="inlineStr">
        <is>
          <t>AM</t>
        </is>
      </c>
      <c r="D13" s="6" t="inlineStr">
        <is>
          <t>Meetings Athens 2025; Infiniteria update</t>
        </is>
      </c>
      <c r="E13" s="6" t="inlineStr">
        <is>
          <t>IVP / IPL</t>
        </is>
      </c>
      <c r="F13" s="6" t="inlineStr">
        <is>
          <t>Ask Axia to run a targeted process with Greek family offices and Piraeus/Eurobank PF desks</t>
        </is>
      </c>
      <c r="G13" s="6" t="inlineStr">
        <is>
          <t>Investor tracker</t>
        </is>
      </c>
    </row>
    <row r="14">
      <c r="A14" s="6" t="inlineStr">
        <is>
          <t>Venero Capital Advisors (Argyris Chatzilias, Giannos Politis)</t>
        </is>
      </c>
      <c r="B14" s="6" t="inlineStr">
        <is>
          <t>Capital advisor - engaged</t>
        </is>
      </c>
      <c r="C14" s="6" t="inlineStr">
        <is>
          <t>KM</t>
        </is>
      </c>
      <c r="D14" s="6" t="inlineStr">
        <is>
          <t>Running Credia LOI; 'KM &amp; AC to meet Pascal'</t>
        </is>
      </c>
      <c r="E14" s="6" t="inlineStr">
        <is>
          <t>IPL debt</t>
        </is>
      </c>
      <c r="F14" s="6" t="inlineStr">
        <is>
          <t>Mandate Venero to open two alternative senior/ VD lenders as competitive tension to Credia</t>
        </is>
      </c>
      <c r="G14" s="6" t="inlineStr">
        <is>
          <t>Credia thread</t>
        </is>
      </c>
    </row>
    <row r="15">
      <c r="A15" s="6" t="inlineStr">
        <is>
          <t>Oak Chase Global</t>
        </is>
      </c>
      <c r="B15" s="6" t="inlineStr">
        <is>
          <t>Capital introduction - ~180 investors</t>
        </is>
      </c>
      <c r="C15" s="6" t="inlineStr">
        <is>
          <t>KM</t>
        </is>
      </c>
      <c r="D15" s="6" t="inlineStr">
        <is>
          <t>Call 20-03-2026; NDA and VDR access; €100m equity for €340m pipeline</t>
        </is>
      </c>
      <c r="E15" s="6" t="inlineStr">
        <is>
          <t>IVP</t>
        </is>
      </c>
      <c r="F15" s="6" t="inlineStr">
        <is>
          <t>Check output since March; if none, drop</t>
        </is>
      </c>
      <c r="G15" s="6" t="inlineStr">
        <is>
          <t>Fathom 20-03-2026</t>
        </is>
      </c>
    </row>
    <row r="16">
      <c r="A16" s="6" t="inlineStr">
        <is>
          <t>Sergo Vashakmadze</t>
        </is>
      </c>
      <c r="B16" s="6" t="inlineStr">
        <is>
          <t>Intermediary - success fee 5% equity / 2.5% debt</t>
        </is>
      </c>
      <c r="C16" s="6" t="inlineStr">
        <is>
          <t>KM</t>
        </is>
      </c>
      <c r="D16" s="6" t="inlineStr">
        <is>
          <t>Call 23-06-2025; mentioned €200b AUM asset manager private credit interest</t>
        </is>
      </c>
      <c r="E16" s="6" t="inlineStr">
        <is>
          <t>IPL mezz / VD</t>
        </is>
      </c>
      <c r="F16" s="6" t="inlineStr">
        <is>
          <t>Only re-engage on a named-investor basis; no retainer</t>
        </is>
      </c>
      <c r="G16" s="6" t="inlineStr">
        <is>
          <t>Fathom 23-06-2025</t>
        </is>
      </c>
    </row>
    <row r="17">
      <c r="A17" s="6" t="inlineStr">
        <is>
          <t>Antin Infrastructure Partners</t>
        </is>
      </c>
      <c r="B17" s="6" t="inlineStr">
        <is>
          <t>Infrastructure GP (Enviro/Michelin pyrolysis JV investor)</t>
        </is>
      </c>
      <c r="C17" s="6" t="inlineStr">
        <is>
          <t>Argus</t>
        </is>
      </c>
      <c r="D17" s="6" t="inlineStr">
        <is>
          <t>'Secure EoI' Apr 2026</t>
        </is>
      </c>
      <c r="E17" s="6" t="inlineStr">
        <is>
          <t>IVP / exit</t>
        </is>
      </c>
      <c r="F17" s="6" t="inlineStr">
        <is>
          <t>Position as later-stage buyer; keep informed at FID</t>
        </is>
      </c>
      <c r="G17" s="6" t="inlineStr">
        <is>
          <t>Investor tracker 17-04-2026</t>
        </is>
      </c>
    </row>
    <row r="18">
      <c r="A18" s="6" t="inlineStr">
        <is>
          <t>Alpha Bank Wealth Management Greece (Miltos Michailas) / 'Cooperation Alpha Bank &lt;&gt; Impactus'</t>
        </is>
      </c>
      <c r="B18" s="6" t="inlineStr">
        <is>
          <t>Greek bank - private banking distribution</t>
        </is>
      </c>
      <c r="C18" s="6" t="inlineStr">
        <is>
          <t>AM / KM</t>
        </is>
      </c>
      <c r="D18" s="6" t="inlineStr">
        <is>
          <t>1-pagers sent 09-09-2026</t>
        </is>
      </c>
      <c r="E18" s="6" t="inlineStr">
        <is>
          <t>CPEF note, IPL, PE Fund</t>
        </is>
      </c>
      <c r="F18" s="6" t="inlineStr">
        <is>
          <t>Agree a private-placement distribution arrangement for professional clients</t>
        </is>
      </c>
      <c r="G18" s="6" t="inlineStr">
        <is>
          <t>Outlook 09-09-2026</t>
        </is>
      </c>
    </row>
    <row r="19">
      <c r="A19" s="6" t="inlineStr">
        <is>
          <t>AstroBank (c/o Charis Kynigou)</t>
        </is>
      </c>
      <c r="B19" s="6" t="inlineStr">
        <is>
          <t>Cyprus bank / investor</t>
        </is>
      </c>
      <c r="C19" s="6" t="inlineStr">
        <is>
          <t>AM</t>
        </is>
      </c>
      <c r="D19" s="6" t="inlineStr">
        <is>
          <t>€702k deposited 2025; additional €500k discussed</t>
        </is>
      </c>
      <c r="E19" s="6" t="inlineStr">
        <is>
          <t>IPL</t>
        </is>
      </c>
      <c r="F19" s="6" t="inlineStr">
        <is>
          <t>Follow up on the additional €500k against the Sep 2026 pack</t>
        </is>
      </c>
      <c r="G19" s="6" t="inlineStr">
        <is>
          <t>Investor tracker</t>
        </is>
      </c>
    </row>
    <row r="20">
      <c r="A20" s="6" t="inlineStr">
        <is>
          <t>Ahmed &amp; Reem Kurdi</t>
        </is>
      </c>
      <c r="B20" s="6" t="inlineStr">
        <is>
          <t>Private investor (KPMG intro)</t>
        </is>
      </c>
      <c r="C20" s="6" t="inlineStr">
        <is>
          <t>AM</t>
        </is>
      </c>
      <c r="D20" s="6" t="inlineStr">
        <is>
          <t>€250k confirmed IPL; €50k CPEF</t>
        </is>
      </c>
      <c r="E20" s="6" t="inlineStr">
        <is>
          <t>IPL / CPEF</t>
        </is>
      </c>
      <c r="F20" s="6" t="inlineStr">
        <is>
          <t>Close documentation</t>
        </is>
      </c>
      <c r="G20" s="6" t="inlineStr">
        <is>
          <t>Investor tracker 03-08-2026</t>
        </is>
      </c>
    </row>
    <row r="21">
      <c r="A21" s="6" t="inlineStr">
        <is>
          <t>ELPEN Family Office (via DP)</t>
        </is>
      </c>
      <c r="B21" s="6" t="inlineStr">
        <is>
          <t>Greek pharma family office</t>
        </is>
      </c>
      <c r="C21" s="6" t="inlineStr">
        <is>
          <t>DP</t>
        </is>
      </c>
      <c r="D21" s="6" t="inlineStr">
        <is>
          <t>€500k CPEF (convertible-backed) + €500k IPL discussed Apr 2026</t>
        </is>
      </c>
      <c r="E21" s="6" t="inlineStr">
        <is>
          <t>CPEF / IPL</t>
        </is>
      </c>
      <c r="F21" s="6" t="inlineStr">
        <is>
          <t>Re-open: ELPEN is the natural strategic for Curity</t>
        </is>
      </c>
      <c r="G21" s="6" t="inlineStr">
        <is>
          <t>Investor tracker 17-04-2026</t>
        </is>
      </c>
    </row>
    <row r="22">
      <c r="A22" s="6" t="inlineStr">
        <is>
          <t>Rachel Koen / Safra Bank</t>
        </is>
      </c>
      <c r="B22" s="6" t="inlineStr">
        <is>
          <t>Private bank</t>
        </is>
      </c>
      <c r="C22" s="6" t="inlineStr">
        <is>
          <t>AM</t>
        </is>
      </c>
      <c r="D22" s="6" t="inlineStr">
        <is>
          <t>IVP deck to Safra's investment analysis director</t>
        </is>
      </c>
      <c r="E22" s="6" t="inlineStr">
        <is>
          <t>IVP</t>
        </is>
      </c>
      <c r="F22" s="6" t="inlineStr">
        <is>
          <t>Follow up</t>
        </is>
      </c>
      <c r="G22" s="6" t="inlineStr">
        <is>
          <t>Investor tracker</t>
        </is>
      </c>
    </row>
    <row r="23">
      <c r="A23" s="6" t="inlineStr">
        <is>
          <t>Serena Capital Partners</t>
        </is>
      </c>
      <c r="B23" s="6" t="inlineStr">
        <is>
          <t>Investor</t>
        </is>
      </c>
      <c r="C23" s="6" t="inlineStr">
        <is>
          <t>KM</t>
        </is>
      </c>
      <c r="D23" s="6" t="inlineStr">
        <is>
          <t>Awaiting Pyrum supervisory board commitment</t>
        </is>
      </c>
      <c r="E23" s="6" t="inlineStr">
        <is>
          <t>IVP</t>
        </is>
      </c>
      <c r="F23" s="6" t="inlineStr">
        <is>
          <t>Follow up</t>
        </is>
      </c>
      <c r="G23" s="6" t="inlineStr">
        <is>
          <t>Investor tracker</t>
        </is>
      </c>
    </row>
    <row r="24">
      <c r="A24" s="6" t="inlineStr">
        <is>
          <t>T2Y Capital</t>
        </is>
      </c>
      <c r="B24" s="6" t="inlineStr">
        <is>
          <t>Investor</t>
        </is>
      </c>
      <c r="C24" s="6" t="inlineStr">
        <is>
          <t>KM</t>
        </is>
      </c>
      <c r="D24" s="6" t="inlineStr">
        <is>
          <t>Follow up once Pyrum agreement in place</t>
        </is>
      </c>
      <c r="E24" s="6" t="inlineStr">
        <is>
          <t>IVP</t>
        </is>
      </c>
      <c r="F24" s="6" t="inlineStr">
        <is>
          <t>Follow up</t>
        </is>
      </c>
      <c r="G24" s="6" t="inlineStr">
        <is>
          <t>Investor tracker 22-10-2025</t>
        </is>
      </c>
    </row>
    <row r="25">
      <c r="A25" s="6" t="inlineStr">
        <is>
          <t>Enrico Cattabiani - IDN / Infrastructure Network (Perl Besch / IVP)</t>
        </is>
      </c>
      <c r="B25" s="6" t="inlineStr">
        <is>
          <t>Infrastructure deal network</t>
        </is>
      </c>
      <c r="C25" s="6" t="inlineStr">
        <is>
          <t>KM</t>
        </is>
      </c>
      <c r="D25" s="6" t="inlineStr">
        <is>
          <t>Checking in Sep 2026; waiting on Pyrum</t>
        </is>
      </c>
      <c r="E25" s="6" t="inlineStr">
        <is>
          <t>IVP</t>
        </is>
      </c>
      <c r="F25" s="6" t="inlineStr">
        <is>
          <t>Send Sep 2026 snapshot</t>
        </is>
      </c>
      <c r="G25" s="6" t="inlineStr">
        <is>
          <t>Outlook 04-09-2026</t>
        </is>
      </c>
    </row>
    <row r="26">
      <c r="A26" s="6" t="inlineStr">
        <is>
          <t>Kinisis Ventures (Andreas)</t>
        </is>
      </c>
      <c r="B26" s="6" t="inlineStr">
        <is>
          <t>Cyprus VC - seeking LPs itself</t>
        </is>
      </c>
      <c r="C26" s="6" t="inlineStr">
        <is>
          <t>KM</t>
        </is>
      </c>
      <c r="D26" s="6" t="inlineStr">
        <is>
          <t>Follow up Jul 2026 (their own raise)</t>
        </is>
      </c>
      <c r="E26" s="6" t="inlineStr">
        <is>
          <t>Low</t>
        </is>
      </c>
      <c r="F26" s="6" t="inlineStr">
        <is>
          <t>Reciprocal introductions only</t>
        </is>
      </c>
      <c r="G26" s="6" t="inlineStr">
        <is>
          <t>Outlook 10-07-2026</t>
        </is>
      </c>
    </row>
    <row r="27">
      <c r="A27" s="6" t="inlineStr">
        <is>
          <t>Marios Constantinou (cytaxaudit)</t>
        </is>
      </c>
      <c r="B27" s="6" t="inlineStr">
        <is>
          <t>Private investor - CPEF note</t>
        </is>
      </c>
      <c r="C27" s="6" t="inlineStr">
        <is>
          <t>KM / MI</t>
        </is>
      </c>
      <c r="D27" s="6" t="inlineStr">
        <is>
          <t>€150k+ subscribed Aug 2026 to CPEF note</t>
        </is>
      </c>
      <c r="E27" s="6" t="inlineStr">
        <is>
          <t>CPEF</t>
        </is>
      </c>
      <c r="F27" s="6" t="inlineStr">
        <is>
          <t>Ask for referrals within his client base</t>
        </is>
      </c>
      <c r="G27" s="6" t="inlineStr">
        <is>
          <t>Outlook Aug 2026</t>
        </is>
      </c>
    </row>
    <row r="28">
      <c r="A28" s="6" t="inlineStr">
        <is>
          <t>Athlos Capital</t>
        </is>
      </c>
      <c r="B28" s="6" t="inlineStr">
        <is>
          <t>Cyprus asset manager (manages CPEF cash)</t>
        </is>
      </c>
      <c r="C28" s="6" t="inlineStr">
        <is>
          <t>MI</t>
        </is>
      </c>
      <c r="D28" s="6" t="inlineStr">
        <is>
          <t>Monthly valuation reports; launching UBS-issued AMC</t>
        </is>
      </c>
      <c r="E28" s="6" t="inlineStr">
        <is>
          <t>Distribution</t>
        </is>
      </c>
      <c r="F28" s="6" t="inlineStr">
        <is>
          <t>Explore an AMC / certificate wrapper for the Impactus fixed-income products</t>
        </is>
      </c>
      <c r="G28" s="6" t="inlineStr">
        <is>
          <t>Outlook 21-09-2026</t>
        </is>
      </c>
    </row>
    <row r="29">
      <c r="A29" s="6" t="inlineStr">
        <is>
          <t>Archirodon Group</t>
        </is>
      </c>
      <c r="B29" s="6" t="inlineStr">
        <is>
          <t>EPC contractor - expressed interest as operations partner</t>
        </is>
      </c>
      <c r="C29" s="6" t="inlineStr">
        <is>
          <t>KM</t>
        </is>
      </c>
      <c r="D29" s="6" t="inlineStr">
        <is>
          <t>ECI Addendum 24-08-2026; interest in O&amp;M role</t>
        </is>
      </c>
      <c r="E29" s="6" t="inlineStr">
        <is>
          <t>IPL - strategic</t>
        </is>
      </c>
      <c r="F29" s="6" t="inlineStr">
        <is>
          <t>Explore contractor equity or deferred-payment component in the EPC as quasi-mezz</t>
        </is>
      </c>
      <c r="G29" s="6" t="inlineStr">
        <is>
          <t>Snapshot p.8</t>
        </is>
      </c>
    </row>
    <row r="30">
      <c r="A30" s="6" t="inlineStr">
        <is>
          <t>Pyrum Innovations AG</t>
        </is>
      </c>
      <c r="B30" s="6" t="inlineStr">
        <is>
          <t>Technology provider (BASF, Continental investors)</t>
        </is>
      </c>
      <c r="C30" s="6" t="inlineStr">
        <is>
          <t>KM</t>
        </is>
      </c>
      <c r="D30" s="6" t="inlineStr">
        <is>
          <t>Letter 18-12-2025; supply agreement at FID</t>
        </is>
      </c>
      <c r="E30" s="6" t="inlineStr">
        <is>
          <t>IPL - strategic</t>
        </is>
      </c>
      <c r="F30" s="6" t="inlineStr">
        <is>
          <t>Request Continental supplier-approval letter for EIB; explore Pyrum equity roll-in</t>
        </is>
      </c>
      <c r="G30" s="6" t="inlineStr">
        <is>
          <t>Snapshot p.6; EIB thread</t>
        </is>
      </c>
    </row>
  </sheetData>
  <pageMargins left="0.75" right="0.75" top="1" bottom="1" header="0.5" footer="0.5"/>
</worksheet>
</file>

<file path=xl/worksheets/sheet9.xml><?xml version="1.0" encoding="utf-8"?>
<worksheet xmlns="http://schemas.openxmlformats.org/spreadsheetml/2006/main">
  <sheetPr>
    <tabColor rgb="002E75B6"/>
    <outlinePr summaryBelow="1" summaryRight="1"/>
    <pageSetUpPr/>
  </sheetPr>
  <dimension ref="A1:H61"/>
  <sheetViews>
    <sheetView showGridLines="0" workbookViewId="0">
      <selection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6" customWidth="1" min="6" max="6"/>
    <col width="16" customWidth="1" min="7" max="7"/>
    <col width="40" customWidth="1" min="8" max="8"/>
  </cols>
  <sheetData>
    <row r="1">
      <c r="A1" s="1" t="inlineStr">
        <is>
          <t>IPL / Thermo Lysi - what the credit market can carry, and what is left for equity</t>
        </is>
      </c>
    </row>
    <row r="2">
      <c r="A2" s="2" t="inlineStr">
        <is>
          <t>Live model: change blue inputs. Base inputs per PwC Greece model Iteration 3 v.6 (2031 full year) and Credia LOI; PMO reset items flagged.</t>
        </is>
      </c>
    </row>
    <row r="4">
      <c r="A4" s="15" t="inlineStr">
        <is>
          <t>OPERATING INPUTS (2031 full year)</t>
        </is>
      </c>
      <c r="D4" s="15" t="inlineStr">
        <is>
          <t>OUTPUTS</t>
        </is>
      </c>
    </row>
    <row r="5">
      <c r="A5" s="6" t="inlineStr">
        <is>
          <t>Throughput (t)</t>
        </is>
      </c>
      <c r="B5" s="16" t="n">
        <v>44776</v>
      </c>
      <c r="D5" s="6" t="inlineStr">
        <is>
          <t>rCB revenue (€m)</t>
        </is>
      </c>
      <c r="E5" s="8">
        <f>B5*B6*B7/1000000</f>
        <v/>
      </c>
    </row>
    <row r="6">
      <c r="A6" s="6" t="inlineStr">
        <is>
          <t>rCB yield</t>
        </is>
      </c>
      <c r="B6" s="17" t="n">
        <v>0.303</v>
      </c>
      <c r="D6" s="6" t="inlineStr">
        <is>
          <t>Oil revenue (€m)</t>
        </is>
      </c>
      <c r="E6" s="8">
        <f>B5*B8*B9/1000000</f>
        <v/>
      </c>
    </row>
    <row r="7">
      <c r="A7" s="6" t="inlineStr">
        <is>
          <t>rCB price (€/t)</t>
        </is>
      </c>
      <c r="B7" s="18" t="n">
        <v>1500</v>
      </c>
      <c r="D7" s="6" t="inlineStr">
        <is>
          <t>Steel revenue (€m)</t>
        </is>
      </c>
      <c r="E7" s="8">
        <f>B5*B10*B11/1000000</f>
        <v/>
      </c>
    </row>
    <row r="8">
      <c r="A8" s="6" t="inlineStr">
        <is>
          <t>Pyrolysis oil yield</t>
        </is>
      </c>
      <c r="B8" s="17" t="n">
        <v>0.2</v>
      </c>
      <c r="D8" s="6" t="inlineStr">
        <is>
          <t>Gate fee revenue (€m)</t>
        </is>
      </c>
      <c r="E8" s="8">
        <f>B5*B12/1000000</f>
        <v/>
      </c>
    </row>
    <row r="9">
      <c r="A9" s="6" t="inlineStr">
        <is>
          <t>Oil price (€/t)</t>
        </is>
      </c>
      <c r="B9" s="18" t="n">
        <v>845</v>
      </c>
      <c r="D9" s="6" t="inlineStr">
        <is>
          <t>Carbon credit revenue (€m)</t>
        </is>
      </c>
      <c r="E9" s="8">
        <f>B5*B13/1000000</f>
        <v/>
      </c>
    </row>
    <row r="10">
      <c r="A10" s="6" t="inlineStr">
        <is>
          <t>Steel yield</t>
        </is>
      </c>
      <c r="B10" s="17" t="n">
        <v>0.245</v>
      </c>
      <c r="D10" s="6" t="inlineStr">
        <is>
          <t>Total revenue (€m)</t>
        </is>
      </c>
      <c r="E10" s="19">
        <f>SUM(E5:E9)</f>
        <v/>
      </c>
    </row>
    <row r="11">
      <c r="A11" s="6" t="inlineStr">
        <is>
          <t>Steel price (€/t)</t>
        </is>
      </c>
      <c r="B11" s="18" t="n">
        <v>250</v>
      </c>
      <c r="D11" s="6" t="inlineStr">
        <is>
          <t>Cash opex (€m)</t>
        </is>
      </c>
      <c r="E11" s="8">
        <f>B5*B14/1000000</f>
        <v/>
      </c>
    </row>
    <row r="12">
      <c r="A12" s="6" t="inlineStr">
        <is>
          <t>Gate fee (€/t) on all throughput</t>
        </is>
      </c>
      <c r="B12" s="18" t="n">
        <v>100</v>
      </c>
      <c r="D12" s="6" t="inlineStr">
        <is>
          <t>EBITDA (€m)</t>
        </is>
      </c>
      <c r="E12" s="19">
        <f>E10-E11</f>
        <v/>
      </c>
    </row>
    <row r="13">
      <c r="A13" s="6" t="inlineStr">
        <is>
          <t>Carbon credits (€/t)</t>
        </is>
      </c>
      <c r="B13" s="18" t="n">
        <v>25</v>
      </c>
      <c r="D13" s="6" t="inlineStr">
        <is>
          <t>EBITDA margin</t>
        </is>
      </c>
      <c r="E13" s="9">
        <f>IF(E10=0,0,E12/E10)</f>
        <v/>
      </c>
    </row>
    <row r="14">
      <c r="A14" s="6" t="inlineStr">
        <is>
          <t>Cash opex (€/t)</t>
        </is>
      </c>
      <c r="B14" s="18" t="n">
        <v>317</v>
      </c>
      <c r="D14" s="6" t="inlineStr">
        <is>
          <t>CFADS proxy (€m) = EBITDA x (1 - tax) - maintenance capex</t>
        </is>
      </c>
      <c r="E14" s="19">
        <f>E12*(1-B16)-B5*B15/1000000</f>
        <v/>
      </c>
    </row>
    <row r="15">
      <c r="A15" s="6" t="inlineStr">
        <is>
          <t>Maintenance capex (€/t)</t>
        </is>
      </c>
      <c r="B15" s="18" t="n">
        <v>20</v>
      </c>
    </row>
    <row r="16">
      <c r="A16" s="6" t="inlineStr">
        <is>
          <t>Corporate tax rate (Greece)</t>
        </is>
      </c>
      <c r="B16" s="17" t="n">
        <v>0.22</v>
      </c>
      <c r="D16" s="6" t="inlineStr">
        <is>
          <t>Senior debt capacity at DSCR (€m)</t>
        </is>
      </c>
      <c r="E16" s="19">
        <f>PV(B19,B20,-E14/B21)</f>
        <v/>
      </c>
    </row>
    <row r="17">
      <c r="D17" s="6" t="inlineStr">
        <is>
          <t>Senior capacity vs Sponsor plan (€m)</t>
        </is>
      </c>
      <c r="E17" s="8">
        <f>E16-B22</f>
        <v/>
      </c>
    </row>
    <row r="18">
      <c r="A18" s="15" t="inlineStr">
        <is>
          <t>SENIOR DEBT INPUTS (Credia LOI, Aug 2026)</t>
        </is>
      </c>
      <c r="D18" s="6" t="inlineStr">
        <is>
          <t>Senior capacity at 1.3x DSCR (LOI average) (€m)</t>
        </is>
      </c>
      <c r="E18" s="8">
        <f>PV(B19,B20,-E14/1.3)</f>
        <v/>
      </c>
    </row>
    <row r="19">
      <c r="A19" s="6" t="inlineStr">
        <is>
          <t>Interest rate (all-in)</t>
        </is>
      </c>
      <c r="B19" s="17" t="n">
        <v>0.065</v>
      </c>
    </row>
    <row r="20">
      <c r="A20" s="6" t="inlineStr">
        <is>
          <t>Repayment tenor (years, post availability)</t>
        </is>
      </c>
      <c r="B20" s="16" t="n">
        <v>10</v>
      </c>
      <c r="D20" s="6" t="inlineStr">
        <is>
          <t>VD all-in cost (cash + PIK + warrant amortised)</t>
        </is>
      </c>
      <c r="E20" s="20">
        <f>B26+B27+B28/B29</f>
        <v/>
      </c>
    </row>
    <row r="21">
      <c r="A21" s="6" t="inlineStr">
        <is>
          <t>Minimum DSCR (sizing)</t>
        </is>
      </c>
      <c r="B21" s="21" t="n">
        <v>1.5</v>
      </c>
      <c r="D21" s="6" t="inlineStr">
        <is>
          <t>VD annual cash interest (€m)</t>
        </is>
      </c>
      <c r="E21" s="8">
        <f>B25*B26</f>
        <v/>
      </c>
    </row>
    <row r="22">
      <c r="A22" s="6" t="inlineStr">
        <is>
          <t>Senior facility in Sponsor plan (€m)</t>
        </is>
      </c>
      <c r="B22" s="22" t="n">
        <v>77.40000000000001</v>
      </c>
      <c r="D22" s="6" t="inlineStr">
        <is>
          <t>VD balance at maturity with PIK (€m)</t>
        </is>
      </c>
      <c r="E22" s="8">
        <f>B25*(1+B27)^B29</f>
        <v/>
      </c>
    </row>
    <row r="24">
      <c r="A24" s="15" t="inlineStr">
        <is>
          <t>VENTURE DEBT / PRIVATE CREDIT TRANCHE</t>
        </is>
      </c>
      <c r="D24" s="6" t="inlineStr">
        <is>
          <t>Sources check (€m): grant + equity + SHL + VAT + senior plan + VD</t>
        </is>
      </c>
      <c r="E24" s="19">
        <f>B32+B33+B34+B35+B22+B25</f>
        <v/>
      </c>
    </row>
    <row r="25">
      <c r="A25" s="6" t="inlineStr">
        <is>
          <t>Tranche size (€m)</t>
        </is>
      </c>
      <c r="B25" s="22" t="n">
        <v>35</v>
      </c>
      <c r="D25" s="6" t="inlineStr">
        <is>
          <t>Gap vs total sources required (€m)</t>
        </is>
      </c>
      <c r="E25" s="19">
        <f>E24-B36</f>
        <v/>
      </c>
    </row>
    <row r="26">
      <c r="A26" s="6" t="inlineStr">
        <is>
          <t>Cash coupon</t>
        </is>
      </c>
      <c r="B26" s="17" t="n">
        <v>0.04</v>
      </c>
      <c r="D26" s="6" t="inlineStr">
        <is>
          <t>Gap if capex stress applies (€m)</t>
        </is>
      </c>
      <c r="E26" s="19">
        <f>E25-B37</f>
        <v/>
      </c>
    </row>
    <row r="27">
      <c r="A27" s="6" t="inlineStr">
        <is>
          <t>PIK coupon</t>
        </is>
      </c>
      <c r="B27" s="17" t="n">
        <v>0.05</v>
      </c>
      <c r="D27" s="6" t="inlineStr">
        <is>
          <t>Gap if senior sized on model CFADS instead of plan (€m)</t>
        </is>
      </c>
      <c r="E27" s="19">
        <f>E25+E17</f>
        <v/>
      </c>
    </row>
    <row r="28">
      <c r="A28" s="6" t="inlineStr">
        <is>
          <t>Warrant value (% of tranche, PV)</t>
        </is>
      </c>
      <c r="B28" s="17" t="n">
        <v>0.03</v>
      </c>
    </row>
    <row r="29">
      <c r="A29" s="6" t="inlineStr">
        <is>
          <t>Term (years)</t>
        </is>
      </c>
      <c r="B29" s="16" t="n">
        <v>7</v>
      </c>
      <c r="D29" s="6" t="inlineStr">
        <is>
          <t>Blended cost of capital (senior, VD, SHL, equity)</t>
        </is>
      </c>
      <c r="E29" s="20">
        <f>(B22*B19+B25*E20+B34*0.10+B33*B38)/(B22+B25+B34+B33)</f>
        <v/>
      </c>
    </row>
    <row r="30">
      <c r="D30" s="6" t="inlineStr">
        <is>
          <t>Interest cover: EBITDA / (senior cash interest + VD cash interest)</t>
        </is>
      </c>
      <c r="E30" s="23">
        <f>IF((B22*B19+E21)=0,0,E12/(B22*B19+E21))</f>
        <v/>
      </c>
    </row>
    <row r="31">
      <c r="A31" s="15" t="inlineStr">
        <is>
          <t>OTHER SOURCES (€m)</t>
        </is>
      </c>
    </row>
    <row r="32">
      <c r="A32" s="6" t="inlineStr">
        <is>
          <t>EU Innovation Fund grant</t>
        </is>
      </c>
      <c r="B32" s="22" t="n">
        <v>29.4</v>
      </c>
    </row>
    <row r="33">
      <c r="A33" s="6" t="inlineStr">
        <is>
          <t>Shareholder equity committed</t>
        </is>
      </c>
      <c r="B33" s="22" t="n">
        <v>15</v>
      </c>
    </row>
    <row r="34">
      <c r="A34" s="6" t="inlineStr">
        <is>
          <t>Shareholder loans (10% simple)</t>
        </is>
      </c>
      <c r="B34" s="22" t="n">
        <v>6</v>
      </c>
    </row>
    <row r="35">
      <c r="A35" s="6" t="inlineStr">
        <is>
          <t>VAT facility</t>
        </is>
      </c>
      <c r="B35" s="22" t="n">
        <v>13.3</v>
      </c>
    </row>
    <row r="36">
      <c r="A36" s="6" t="inlineStr">
        <is>
          <t>Total sources required (Sponsor plan)</t>
        </is>
      </c>
      <c r="B36" s="22" t="n">
        <v>176</v>
      </c>
    </row>
    <row r="37">
      <c r="A37" s="6" t="inlineStr">
        <is>
          <t>Capex stress (PMO high case €150m plant vs €118.5m) - uplift</t>
        </is>
      </c>
      <c r="B37" s="22" t="n">
        <v>31.5</v>
      </c>
    </row>
    <row r="38">
      <c r="A38" s="6" t="inlineStr">
        <is>
          <t>Target equity IRR</t>
        </is>
      </c>
      <c r="B38" s="17" t="n">
        <v>0.22</v>
      </c>
    </row>
    <row r="41">
      <c r="A41" s="15" t="inlineStr">
        <is>
          <t>SENSITIVITY - senior debt capacity (€m) by gate fee (rows, €/t) and rCB price (columns, €/t), all other inputs as above</t>
        </is>
      </c>
    </row>
    <row r="42">
      <c r="A42" s="24" t="inlineStr">
        <is>
          <t>Gate fee €/t \ rCB €/t</t>
        </is>
      </c>
      <c r="B42" s="25" t="n">
        <v>1000</v>
      </c>
      <c r="C42" s="25" t="n">
        <v>1250</v>
      </c>
      <c r="D42" s="25" t="n">
        <v>1500</v>
      </c>
      <c r="E42" s="25" t="n">
        <v>1750</v>
      </c>
    </row>
    <row r="43">
      <c r="A43" s="25" t="n">
        <v>0</v>
      </c>
      <c r="B43" s="8">
        <f>PV($B$19,$B$20,-((($B$5*$B$6*B$42+$B$5*$B$8*$B$9+$B$5*$B$10*$B$11+$B$5*$A43+$B$5*$B$13)/1000000-$E$11)*(1-$B$16)-$B$5*$B$15/1000000)/$B$21)</f>
        <v/>
      </c>
      <c r="C43" s="8">
        <f>PV($B$19,$B$20,-((($B$5*$B$6*C$42+$B$5*$B$8*$B$9+$B$5*$B$10*$B$11+$B$5*$A43+$B$5*$B$13)/1000000-$E$11)*(1-$B$16)-$B$5*$B$15/1000000)/$B$21)</f>
        <v/>
      </c>
      <c r="D43" s="8">
        <f>PV($B$19,$B$20,-((($B$5*$B$6*D$42+$B$5*$B$8*$B$9+$B$5*$B$10*$B$11+$B$5*$A43+$B$5*$B$13)/1000000-$E$11)*(1-$B$16)-$B$5*$B$15/1000000)/$B$21)</f>
        <v/>
      </c>
      <c r="E43" s="8">
        <f>PV($B$19,$B$20,-((($B$5*$B$6*E$42+$B$5*$B$8*$B$9+$B$5*$B$10*$B$11+$B$5*$A43+$B$5*$B$13)/1000000-$E$11)*(1-$B$16)-$B$5*$B$15/1000000)/$B$21)</f>
        <v/>
      </c>
    </row>
    <row r="44">
      <c r="A44" s="25" t="n">
        <v>30</v>
      </c>
      <c r="B44" s="8">
        <f>PV($B$19,$B$20,-((($B$5*$B$6*B$42+$B$5*$B$8*$B$9+$B$5*$B$10*$B$11+$B$5*$A44+$B$5*$B$13)/1000000-$E$11)*(1-$B$16)-$B$5*$B$15/1000000)/$B$21)</f>
        <v/>
      </c>
      <c r="C44" s="8">
        <f>PV($B$19,$B$20,-((($B$5*$B$6*C$42+$B$5*$B$8*$B$9+$B$5*$B$10*$B$11+$B$5*$A44+$B$5*$B$13)/1000000-$E$11)*(1-$B$16)-$B$5*$B$15/1000000)/$B$21)</f>
        <v/>
      </c>
      <c r="D44" s="8">
        <f>PV($B$19,$B$20,-((($B$5*$B$6*D$42+$B$5*$B$8*$B$9+$B$5*$B$10*$B$11+$B$5*$A44+$B$5*$B$13)/1000000-$E$11)*(1-$B$16)-$B$5*$B$15/1000000)/$B$21)</f>
        <v/>
      </c>
      <c r="E44" s="8">
        <f>PV($B$19,$B$20,-((($B$5*$B$6*E$42+$B$5*$B$8*$B$9+$B$5*$B$10*$B$11+$B$5*$A44+$B$5*$B$13)/1000000-$E$11)*(1-$B$16)-$B$5*$B$15/1000000)/$B$21)</f>
        <v/>
      </c>
    </row>
    <row r="45">
      <c r="A45" s="25" t="n">
        <v>62</v>
      </c>
      <c r="B45" s="8">
        <f>PV($B$19,$B$20,-((($B$5*$B$6*B$42+$B$5*$B$8*$B$9+$B$5*$B$10*$B$11+$B$5*$A45+$B$5*$B$13)/1000000-$E$11)*(1-$B$16)-$B$5*$B$15/1000000)/$B$21)</f>
        <v/>
      </c>
      <c r="C45" s="8">
        <f>PV($B$19,$B$20,-((($B$5*$B$6*C$42+$B$5*$B$8*$B$9+$B$5*$B$10*$B$11+$B$5*$A45+$B$5*$B$13)/1000000-$E$11)*(1-$B$16)-$B$5*$B$15/1000000)/$B$21)</f>
        <v/>
      </c>
      <c r="D45" s="8">
        <f>PV($B$19,$B$20,-((($B$5*$B$6*D$42+$B$5*$B$8*$B$9+$B$5*$B$10*$B$11+$B$5*$A45+$B$5*$B$13)/1000000-$E$11)*(1-$B$16)-$B$5*$B$15/1000000)/$B$21)</f>
        <v/>
      </c>
      <c r="E45" s="8">
        <f>PV($B$19,$B$20,-((($B$5*$B$6*E$42+$B$5*$B$8*$B$9+$B$5*$B$10*$B$11+$B$5*$A45+$B$5*$B$13)/1000000-$E$11)*(1-$B$16)-$B$5*$B$15/1000000)/$B$21)</f>
        <v/>
      </c>
    </row>
    <row r="46">
      <c r="A46" s="25" t="n">
        <v>100</v>
      </c>
      <c r="B46" s="8">
        <f>PV($B$19,$B$20,-((($B$5*$B$6*B$42+$B$5*$B$8*$B$9+$B$5*$B$10*$B$11+$B$5*$A46+$B$5*$B$13)/1000000-$E$11)*(1-$B$16)-$B$5*$B$15/1000000)/$B$21)</f>
        <v/>
      </c>
      <c r="C46" s="8">
        <f>PV($B$19,$B$20,-((($B$5*$B$6*C$42+$B$5*$B$8*$B$9+$B$5*$B$10*$B$11+$B$5*$A46+$B$5*$B$13)/1000000-$E$11)*(1-$B$16)-$B$5*$B$15/1000000)/$B$21)</f>
        <v/>
      </c>
      <c r="D46" s="8">
        <f>PV($B$19,$B$20,-((($B$5*$B$6*D$42+$B$5*$B$8*$B$9+$B$5*$B$10*$B$11+$B$5*$A46+$B$5*$B$13)/1000000-$E$11)*(1-$B$16)-$B$5*$B$15/1000000)/$B$21)</f>
        <v/>
      </c>
      <c r="E46" s="8">
        <f>PV($B$19,$B$20,-((($B$5*$B$6*E$42+$B$5*$B$8*$B$9+$B$5*$B$10*$B$11+$B$5*$A46+$B$5*$B$13)/1000000-$E$11)*(1-$B$16)-$B$5*$B$15/1000000)/$B$21)</f>
        <v/>
      </c>
    </row>
    <row r="47">
      <c r="A47" s="25" t="n">
        <v>130</v>
      </c>
      <c r="B47" s="8">
        <f>PV($B$19,$B$20,-((($B$5*$B$6*B$42+$B$5*$B$8*$B$9+$B$5*$B$10*$B$11+$B$5*$A47+$B$5*$B$13)/1000000-$E$11)*(1-$B$16)-$B$5*$B$15/1000000)/$B$21)</f>
        <v/>
      </c>
      <c r="C47" s="8">
        <f>PV($B$19,$B$20,-((($B$5*$B$6*C$42+$B$5*$B$8*$B$9+$B$5*$B$10*$B$11+$B$5*$A47+$B$5*$B$13)/1000000-$E$11)*(1-$B$16)-$B$5*$B$15/1000000)/$B$21)</f>
        <v/>
      </c>
      <c r="D47" s="8">
        <f>PV($B$19,$B$20,-((($B$5*$B$6*D$42+$B$5*$B$8*$B$9+$B$5*$B$10*$B$11+$B$5*$A47+$B$5*$B$13)/1000000-$E$11)*(1-$B$16)-$B$5*$B$15/1000000)/$B$21)</f>
        <v/>
      </c>
      <c r="E47" s="8">
        <f>PV($B$19,$B$20,-((($B$5*$B$6*E$42+$B$5*$B$8*$B$9+$B$5*$B$10*$B$11+$B$5*$A47+$B$5*$B$13)/1000000-$E$11)*(1-$B$16)-$B$5*$B$15/1000000)/$B$21)</f>
        <v/>
      </c>
    </row>
    <row r="49" ht="30" customHeight="1">
      <c r="A49" s="6" t="inlineStr">
        <is>
          <t>Reading: the contracted position today (€62/t on 11ktpa, i.e. c.€15/t on 45ktpa) sits between the 0 and 30 rows. The Sponsor plan senior of €77.4m requires the €100/t row at €1,500/t rCB or better. Every €10/t of gate fee on 45ktpa is c.€0.45m EBITDA and c.€1.7m of senior capacity at 6.5% / 10y / 1.5x.</t>
        </is>
      </c>
      <c r="B49" s="26" t="n"/>
      <c r="C49" s="26" t="n"/>
      <c r="D49" s="26" t="n"/>
      <c r="E49" s="26" t="n"/>
      <c r="F49" s="26" t="n"/>
      <c r="G49" s="26" t="n"/>
      <c r="H49" s="27" t="n"/>
    </row>
    <row r="50">
      <c r="A50" s="28" t="n"/>
      <c r="B50" s="29" t="n"/>
      <c r="C50" s="29" t="n"/>
      <c r="D50" s="29" t="n"/>
      <c r="E50" s="29" t="n"/>
      <c r="F50" s="29" t="n"/>
      <c r="G50" s="29" t="n"/>
      <c r="H50" s="30" t="n"/>
    </row>
    <row r="52">
      <c r="A52" s="15" t="inlineStr">
        <is>
          <t>SENSITIVITY - EBITDA (€m) by oil price (rows, €/t) and rCB price (columns, €/t)</t>
        </is>
      </c>
    </row>
    <row r="53">
      <c r="A53" s="24" t="inlineStr">
        <is>
          <t>Oil €/t \ rCB €/t</t>
        </is>
      </c>
      <c r="B53" s="25" t="n">
        <v>1000</v>
      </c>
      <c r="C53" s="25" t="n">
        <v>1250</v>
      </c>
      <c r="D53" s="25" t="n">
        <v>1500</v>
      </c>
      <c r="E53" s="25" t="n">
        <v>1750</v>
      </c>
    </row>
    <row r="54">
      <c r="A54" s="25" t="n">
        <v>515</v>
      </c>
      <c r="B54" s="8">
        <f>($B$5*$B$6*B$53+$B$5*$B$8*$A54+$B$5*$B$10*$B$11+$B$5*$B$12+$B$5*$B$13)/1000000-$E$11</f>
        <v/>
      </c>
      <c r="C54" s="8">
        <f>($B$5*$B$6*C$53+$B$5*$B$8*$A54+$B$5*$B$10*$B$11+$B$5*$B$12+$B$5*$B$13)/1000000-$E$11</f>
        <v/>
      </c>
      <c r="D54" s="8">
        <f>($B$5*$B$6*D$53+$B$5*$B$8*$A54+$B$5*$B$10*$B$11+$B$5*$B$12+$B$5*$B$13)/1000000-$E$11</f>
        <v/>
      </c>
      <c r="E54" s="8">
        <f>($B$5*$B$6*E$53+$B$5*$B$8*$A54+$B$5*$B$10*$B$11+$B$5*$B$12+$B$5*$B$13)/1000000-$E$11</f>
        <v/>
      </c>
    </row>
    <row r="55">
      <c r="A55" s="25" t="n">
        <v>650</v>
      </c>
      <c r="B55" s="8">
        <f>($B$5*$B$6*B$53+$B$5*$B$8*$A55+$B$5*$B$10*$B$11+$B$5*$B$12+$B$5*$B$13)/1000000-$E$11</f>
        <v/>
      </c>
      <c r="C55" s="8">
        <f>($B$5*$B$6*C$53+$B$5*$B$8*$A55+$B$5*$B$10*$B$11+$B$5*$B$12+$B$5*$B$13)/1000000-$E$11</f>
        <v/>
      </c>
      <c r="D55" s="8">
        <f>($B$5*$B$6*D$53+$B$5*$B$8*$A55+$B$5*$B$10*$B$11+$B$5*$B$12+$B$5*$B$13)/1000000-$E$11</f>
        <v/>
      </c>
      <c r="E55" s="8">
        <f>($B$5*$B$6*E$53+$B$5*$B$8*$A55+$B$5*$B$10*$B$11+$B$5*$B$12+$B$5*$B$13)/1000000-$E$11</f>
        <v/>
      </c>
    </row>
    <row r="56">
      <c r="A56" s="25" t="n">
        <v>845</v>
      </c>
      <c r="B56" s="8">
        <f>($B$5*$B$6*B$53+$B$5*$B$8*$A56+$B$5*$B$10*$B$11+$B$5*$B$12+$B$5*$B$13)/1000000-$E$11</f>
        <v/>
      </c>
      <c r="C56" s="8">
        <f>($B$5*$B$6*C$53+$B$5*$B$8*$A56+$B$5*$B$10*$B$11+$B$5*$B$12+$B$5*$B$13)/1000000-$E$11</f>
        <v/>
      </c>
      <c r="D56" s="8">
        <f>($B$5*$B$6*D$53+$B$5*$B$8*$A56+$B$5*$B$10*$B$11+$B$5*$B$12+$B$5*$B$13)/1000000-$E$11</f>
        <v/>
      </c>
      <c r="E56" s="8">
        <f>($B$5*$B$6*E$53+$B$5*$B$8*$A56+$B$5*$B$10*$B$11+$B$5*$B$12+$B$5*$B$13)/1000000-$E$11</f>
        <v/>
      </c>
    </row>
    <row r="57">
      <c r="A57" s="25" t="n">
        <v>1000</v>
      </c>
      <c r="B57" s="8">
        <f>($B$5*$B$6*B$53+$B$5*$B$8*$A57+$B$5*$B$10*$B$11+$B$5*$B$12+$B$5*$B$13)/1000000-$E$11</f>
        <v/>
      </c>
      <c r="C57" s="8">
        <f>($B$5*$B$6*C$53+$B$5*$B$8*$A57+$B$5*$B$10*$B$11+$B$5*$B$12+$B$5*$B$13)/1000000-$E$11</f>
        <v/>
      </c>
      <c r="D57" s="8">
        <f>($B$5*$B$6*D$53+$B$5*$B$8*$A57+$B$5*$B$10*$B$11+$B$5*$B$12+$B$5*$B$13)/1000000-$E$11</f>
        <v/>
      </c>
      <c r="E57" s="8">
        <f>($B$5*$B$6*E$53+$B$5*$B$8*$A57+$B$5*$B$10*$B$11+$B$5*$B$12+$B$5*$B$13)/1000000-$E$11</f>
        <v/>
      </c>
    </row>
    <row r="59" ht="30" customHeight="1">
      <c r="A59" s="6" t="inlineStr">
        <is>
          <t>DD challenge (lender credit committee): the model EBITDA of €21.9m rests on €1,500/t rCB and €100/t gate fee across 45ktpa; neither is contracted at that level today. A credit committee will size on contracted cash flows only, which is why the venture-debt / private-credit tranche exists - it is the price of the gap between contracted and modelled revenue, not a cheaper alternative to equity.</t>
        </is>
      </c>
      <c r="B59" s="26" t="n"/>
      <c r="C59" s="26" t="n"/>
      <c r="D59" s="26" t="n"/>
      <c r="E59" s="26" t="n"/>
      <c r="F59" s="26" t="n"/>
      <c r="G59" s="26" t="n"/>
      <c r="H59" s="27" t="n"/>
    </row>
    <row r="60">
      <c r="A60" s="31" t="n"/>
      <c r="H60" s="32" t="n"/>
    </row>
    <row r="61">
      <c r="A61" s="28" t="n"/>
      <c r="B61" s="29" t="n"/>
      <c r="C61" s="29" t="n"/>
      <c r="D61" s="29" t="n"/>
      <c r="E61" s="29" t="n"/>
      <c r="F61" s="29" t="n"/>
      <c r="G61" s="29" t="n"/>
      <c r="H61" s="30" t="n"/>
    </row>
  </sheetData>
  <mergeCells count="2">
    <mergeCell ref="A49:H50"/>
    <mergeCell ref="A59:H61"/>
  </mergeCells>
  <conditionalFormatting sqref="B43:E47">
    <cfRule type="colorScale" priority="1">
      <colorScale>
        <cfvo type="min"/>
        <cfvo type="percentile" val="50"/>
        <cfvo type="max"/>
        <color rgb="00F8CBAD"/>
        <color rgb="00FFEB9C"/>
        <color rgb="00C6EFCE"/>
      </colorScale>
    </cfRule>
  </conditionalFormatting>
  <conditionalFormatting sqref="B54:E57">
    <cfRule type="colorScale" priority="2">
      <colorScale>
        <cfvo type="min"/>
        <cfvo type="percentile" val="50"/>
        <cfvo type="max"/>
        <color rgb="00F8CBAD"/>
        <color rgb="00FFEB9C"/>
        <color rgb="00C6EFCE"/>
      </colorScale>
    </cfRule>
  </conditionalFormatting>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2E75B6"/>
    <outlinePr summaryBelow="1" summaryRight="1"/>
    <pageSetUpPr/>
  </sheetPr>
  <dimension ref="A1:G32"/>
  <sheetViews>
    <sheetView showGridLines="0"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40" customWidth="1" min="7" max="7"/>
  </cols>
  <sheetData>
    <row r="1">
      <c r="A1" s="1" t="inlineStr">
        <is>
          <t>CPEF I Curity / Curity Pharma - how much growth debt the asset can carry, and at what price</t>
        </is>
      </c>
    </row>
    <row r="2">
      <c r="A2" s="2" t="inlineStr">
        <is>
          <t>Live model. Base inputs from the Meerkat valuation business plan (stressed case) and the June 2026 Investor Pack; refresh with FY2025 actuals before external use.</t>
        </is>
      </c>
    </row>
    <row r="4">
      <c r="A4" s="15" t="inlineStr">
        <is>
          <t>OPERATING INPUTS</t>
        </is>
      </c>
      <c r="D4" s="15" t="inlineStr">
        <is>
          <t>OUTPUTS</t>
        </is>
      </c>
    </row>
    <row r="5">
      <c r="A5" s="6" t="inlineStr">
        <is>
          <t>Grams sold p.a.</t>
        </is>
      </c>
      <c r="B5" s="16" t="n">
        <v>3498219</v>
      </c>
      <c r="D5" s="6" t="inlineStr">
        <is>
          <t>Revenue (€m)</t>
        </is>
      </c>
      <c r="E5" s="19">
        <f>B5*B6/1000000</f>
        <v/>
      </c>
    </row>
    <row r="6">
      <c r="A6" s="6" t="inlineStr">
        <is>
          <t>Net price (€/g)</t>
        </is>
      </c>
      <c r="B6" s="33" t="n">
        <v>3</v>
      </c>
      <c r="D6" s="6" t="inlineStr">
        <is>
          <t>EBITDA (€m)</t>
        </is>
      </c>
      <c r="E6" s="19">
        <f>E5*B7</f>
        <v/>
      </c>
    </row>
    <row r="7">
      <c r="A7" s="6" t="inlineStr">
        <is>
          <t>EBITDA margin</t>
        </is>
      </c>
      <c r="B7" s="17" t="n">
        <v>0.5</v>
      </c>
      <c r="D7" s="6" t="inlineStr">
        <is>
          <t>Total debt capacity at target leverage (€m)</t>
        </is>
      </c>
      <c r="E7" s="19">
        <f>E6*B14</f>
        <v/>
      </c>
    </row>
    <row r="8">
      <c r="A8" s="6" t="inlineStr">
        <is>
          <t>Tax rate (Greece)</t>
        </is>
      </c>
      <c r="B8" s="17" t="n">
        <v>0.22</v>
      </c>
      <c r="D8" s="6" t="inlineStr">
        <is>
          <t>Headroom for growth facility after existing debt (€m)</t>
        </is>
      </c>
      <c r="E8" s="19">
        <f>MAX(0,E7-B10)</f>
        <v/>
      </c>
    </row>
    <row r="9">
      <c r="A9" s="6" t="inlineStr">
        <is>
          <t>Maintenance capex (€m)</t>
        </is>
      </c>
      <c r="B9" s="22" t="n">
        <v>0.11</v>
      </c>
      <c r="D9" s="6" t="inlineStr">
        <is>
          <t>Annual cash interest on growth facility (€m)</t>
        </is>
      </c>
      <c r="E9" s="8">
        <f>E8*B15</f>
        <v/>
      </c>
    </row>
    <row r="10">
      <c r="A10" s="6" t="inlineStr">
        <is>
          <t>Existing senior bank debt (€m)</t>
        </is>
      </c>
      <c r="B10" s="22" t="n">
        <v>5.57</v>
      </c>
      <c r="D10" s="6" t="inlineStr">
        <is>
          <t>Total cash interest (existing + growth) (€m)</t>
        </is>
      </c>
      <c r="E10" s="8">
        <f>B10*B11+E9</f>
        <v/>
      </c>
    </row>
    <row r="11">
      <c r="A11" s="6" t="inlineStr">
        <is>
          <t>Existing bank rate</t>
        </is>
      </c>
      <c r="B11" s="17" t="n">
        <v>0.06</v>
      </c>
      <c r="D11" s="6" t="inlineStr">
        <is>
          <t>Interest cover (EBITDA / cash interest)</t>
        </is>
      </c>
      <c r="E11" s="23">
        <f>IF(E10=0,0,E6/E10)</f>
        <v/>
      </c>
    </row>
    <row r="12">
      <c r="D12" s="6" t="inlineStr">
        <is>
          <t>Free cash after tax, capex and interest (€m)</t>
        </is>
      </c>
      <c r="E12" s="19">
        <f>E6*(1-B8)-B9-E10</f>
        <v/>
      </c>
    </row>
    <row r="13">
      <c r="A13" s="15" t="inlineStr">
        <is>
          <t>GROWTH FACILITY INPUTS</t>
        </is>
      </c>
      <c r="D13" s="6" t="inlineStr">
        <is>
          <t>Debt service capacity (FCF / (growth facility / tenor))</t>
        </is>
      </c>
      <c r="E13" s="34">
        <f>IF(E8=0,0,E12/(E8/B16))</f>
        <v/>
      </c>
    </row>
    <row r="14">
      <c r="A14" s="6" t="inlineStr">
        <is>
          <t>Target leverage (net debt / EBITDA)</t>
        </is>
      </c>
      <c r="B14" s="21" t="n">
        <v>2.5</v>
      </c>
      <c r="D14" s="6" t="inlineStr">
        <is>
          <t>All-in cost of growth facility</t>
        </is>
      </c>
      <c r="E14" s="20">
        <f>B15+B17/B16</f>
        <v/>
      </c>
    </row>
    <row r="15">
      <c r="A15" s="6" t="inlineStr">
        <is>
          <t>Growth facility rate (cash)</t>
        </is>
      </c>
      <c r="B15" s="17" t="n">
        <v>0.13</v>
      </c>
      <c r="D15" s="6" t="inlineStr">
        <is>
          <t>Spread of growth facility over CPEF 8% note</t>
        </is>
      </c>
      <c r="E15" s="9">
        <f>E14-B18</f>
        <v/>
      </c>
    </row>
    <row r="16">
      <c r="A16" s="6" t="inlineStr">
        <is>
          <t>Tenor (years)</t>
        </is>
      </c>
      <c r="B16" s="16" t="n">
        <v>4</v>
      </c>
    </row>
    <row r="17">
      <c r="A17" s="6" t="inlineStr">
        <is>
          <t>Warrants / fees (% of facility, PV)</t>
        </is>
      </c>
      <c r="B17" s="17" t="n">
        <v>0.04</v>
      </c>
      <c r="D17" s="6" t="inlineStr">
        <is>
          <t>Look-through: CPEF share of Curity equity value (€m)</t>
        </is>
      </c>
      <c r="E17" s="8">
        <f>B19*B20</f>
        <v/>
      </c>
    </row>
    <row r="18">
      <c r="A18" s="6" t="inlineStr">
        <is>
          <t>CPEF note coupon (reference)</t>
        </is>
      </c>
      <c r="B18" s="17" t="n">
        <v>0.08</v>
      </c>
      <c r="D18" s="6" t="inlineStr">
        <is>
          <t>Implied EV / EBITDA at last mark (with existing debt)</t>
        </is>
      </c>
      <c r="E18" s="34">
        <f>IF(E6=0,0,(B19+B10)/E6)</f>
        <v/>
      </c>
    </row>
    <row r="19">
      <c r="A19" s="6" t="inlineStr">
        <is>
          <t>Curity Pharma last-marked equity value (€m)</t>
        </is>
      </c>
      <c r="B19" s="22" t="n">
        <v>22.2</v>
      </c>
    </row>
    <row r="20">
      <c r="A20" s="6" t="inlineStr">
        <is>
          <t>CPEF holding in Curity</t>
        </is>
      </c>
      <c r="B20" s="17" t="n">
        <v>0.3375</v>
      </c>
    </row>
    <row r="23">
      <c r="A23" s="15" t="inlineStr">
        <is>
          <t>SENSITIVITY - growth-facility headroom (€m) by price €/g (rows) and grams sold (columns)</t>
        </is>
      </c>
    </row>
    <row r="24">
      <c r="A24" s="24" t="inlineStr">
        <is>
          <t>€/g \ grams</t>
        </is>
      </c>
      <c r="B24" s="35" t="n">
        <v>1500000</v>
      </c>
      <c r="C24" s="35" t="n">
        <v>2500000</v>
      </c>
      <c r="D24" s="35" t="n">
        <v>3500000</v>
      </c>
      <c r="E24" s="35" t="n">
        <v>5100000</v>
      </c>
    </row>
    <row r="25">
      <c r="A25" s="36" t="n">
        <v>2.5</v>
      </c>
      <c r="B25" s="8">
        <f>MAX(0,B$24*$A25/1000000*$B$7*$B$14-$B$10)</f>
        <v/>
      </c>
      <c r="C25" s="8">
        <f>MAX(0,C$24*$A25/1000000*$B$7*$B$14-$B$10)</f>
        <v/>
      </c>
      <c r="D25" s="8">
        <f>MAX(0,D$24*$A25/1000000*$B$7*$B$14-$B$10)</f>
        <v/>
      </c>
      <c r="E25" s="8">
        <f>MAX(0,E$24*$A25/1000000*$B$7*$B$14-$B$10)</f>
        <v/>
      </c>
    </row>
    <row r="26">
      <c r="A26" s="36" t="n">
        <v>3</v>
      </c>
      <c r="B26" s="8">
        <f>MAX(0,B$24*$A26/1000000*$B$7*$B$14-$B$10)</f>
        <v/>
      </c>
      <c r="C26" s="8">
        <f>MAX(0,C$24*$A26/1000000*$B$7*$B$14-$B$10)</f>
        <v/>
      </c>
      <c r="D26" s="8">
        <f>MAX(0,D$24*$A26/1000000*$B$7*$B$14-$B$10)</f>
        <v/>
      </c>
      <c r="E26" s="8">
        <f>MAX(0,E$24*$A26/1000000*$B$7*$B$14-$B$10)</f>
        <v/>
      </c>
    </row>
    <row r="27">
      <c r="A27" s="36" t="n">
        <v>3.75</v>
      </c>
      <c r="B27" s="8">
        <f>MAX(0,B$24*$A27/1000000*$B$7*$B$14-$B$10)</f>
        <v/>
      </c>
      <c r="C27" s="8">
        <f>MAX(0,C$24*$A27/1000000*$B$7*$B$14-$B$10)</f>
        <v/>
      </c>
      <c r="D27" s="8">
        <f>MAX(0,D$24*$A27/1000000*$B$7*$B$14-$B$10)</f>
        <v/>
      </c>
      <c r="E27" s="8">
        <f>MAX(0,E$24*$A27/1000000*$B$7*$B$14-$B$10)</f>
        <v/>
      </c>
    </row>
    <row r="28">
      <c r="A28" s="36" t="n">
        <v>4.85</v>
      </c>
      <c r="B28" s="8">
        <f>MAX(0,B$24*$A28/1000000*$B$7*$B$14-$B$10)</f>
        <v/>
      </c>
      <c r="C28" s="8">
        <f>MAX(0,C$24*$A28/1000000*$B$7*$B$14-$B$10)</f>
        <v/>
      </c>
      <c r="D28" s="8">
        <f>MAX(0,D$24*$A28/1000000*$B$7*$B$14-$B$10)</f>
        <v/>
      </c>
      <c r="E28" s="8">
        <f>MAX(0,E$24*$A28/1000000*$B$7*$B$14-$B$10)</f>
        <v/>
      </c>
    </row>
    <row r="30" ht="30" customHeight="1">
      <c r="A30" s="6" t="inlineStr">
        <is>
          <t>DD challenge (LP due-diligence lead): Curity is early-revenue (first exports 2026, Galenica distribution from October 2026). Until twelve months of audited sales exist, the only lenders are specialist cannabis credit funds at 12-16% or an asset-based lender against EU-GMP inventory and receivables. The 8% note is therefore priced below where a third-party lender would price the same risk; the difference is being carried by the Sponsor's relationship with its own investor base.</t>
        </is>
      </c>
      <c r="B30" s="26" t="n"/>
      <c r="C30" s="26" t="n"/>
      <c r="D30" s="26" t="n"/>
      <c r="E30" s="26" t="n"/>
      <c r="F30" s="26" t="n"/>
      <c r="G30" s="27" t="n"/>
    </row>
    <row r="31">
      <c r="A31" s="31" t="n"/>
      <c r="G31" s="32" t="n"/>
    </row>
    <row r="32">
      <c r="A32" s="28" t="n"/>
      <c r="B32" s="29" t="n"/>
      <c r="C32" s="29" t="n"/>
      <c r="D32" s="29" t="n"/>
      <c r="E32" s="29" t="n"/>
      <c r="F32" s="29" t="n"/>
      <c r="G32" s="30" t="n"/>
    </row>
  </sheetData>
  <mergeCells count="1">
    <mergeCell ref="A30:G32"/>
  </mergeCells>
  <conditionalFormatting sqref="B25:E28">
    <cfRule type="colorScale" priority="1">
      <colorScale>
        <cfvo type="min"/>
        <cfvo type="percentile" val="50"/>
        <cfvo type="max"/>
        <color rgb="00F8CBAD"/>
        <color rgb="00FFEB9C"/>
        <color rgb="00C6EFCE"/>
      </colorScale>
    </cfRule>
  </conditionalFormatting>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7F7F7F"/>
    <outlinePr summaryBelow="1" summaryRight="1"/>
    <pageSetUpPr/>
  </sheetPr>
  <dimension ref="A1:H27"/>
  <sheetViews>
    <sheetView showGridLines="0" workbookViewId="0">
      <pane ySplit="4" topLeftCell="A5" activePane="bottomLeft" state="frozen"/>
      <selection pane="bottomLeft" activeCell="A1" sqref="A1"/>
    </sheetView>
  </sheetViews>
  <sheetFormatPr baseColWidth="8" defaultRowHeight="15"/>
  <cols>
    <col width="10" customWidth="1" min="1" max="1"/>
    <col width="16" customWidth="1" min="2" max="2"/>
    <col width="40" customWidth="1" min="3" max="3"/>
    <col width="40" customWidth="1" min="4" max="4"/>
    <col width="50" customWidth="1" min="5" max="5"/>
    <col width="40" customWidth="1" min="6" max="6"/>
    <col width="40" customWidth="1" min="7" max="7"/>
    <col width="10" customWidth="1" min="8" max="8"/>
  </cols>
  <sheetData>
    <row r="1">
      <c r="A1" s="1" t="inlineStr">
        <is>
          <t>Outreach plan - waves, channels, cadence, KPIs</t>
        </is>
      </c>
    </row>
    <row r="2">
      <c r="A2" s="2" t="inlineStr">
        <is>
          <t>Response-rate assumptions are analyst estimates from placement-agent practice (basis stated); track actuals in the Contacts tab and replace</t>
        </is>
      </c>
    </row>
    <row r="4" ht="30" customHeight="1">
      <c r="A4" s="5" t="inlineStr">
        <is>
          <t>Wave</t>
        </is>
      </c>
      <c r="B4" s="5" t="inlineStr">
        <is>
          <t>Timing</t>
        </is>
      </c>
      <c r="C4" s="5" t="inlineStr">
        <is>
          <t>Who (segment)</t>
        </is>
      </c>
      <c r="D4" s="5" t="inlineStr">
        <is>
          <t>Objective</t>
        </is>
      </c>
      <c r="E4" s="5" t="inlineStr">
        <is>
          <t>Channel and cadence</t>
        </is>
      </c>
      <c r="F4" s="5" t="inlineStr">
        <is>
          <t>Material</t>
        </is>
      </c>
      <c r="G4" s="5" t="inlineStr">
        <is>
          <t>KPI / exit criterion</t>
        </is>
      </c>
      <c r="H4" s="5" t="inlineStr">
        <is>
          <t>Owner</t>
        </is>
      </c>
    </row>
    <row r="5">
      <c r="A5" s="6" t="inlineStr">
        <is>
          <t>Wave 0</t>
        </is>
      </c>
      <c r="B5" s="6" t="inlineStr">
        <is>
          <t>Now to 31-10-2026</t>
        </is>
      </c>
      <c r="C5" s="6" t="inlineStr">
        <is>
          <t>Live threads: EIB VD, HIIF, Credia, Sirec, Ecoelastika, Pyrum / Continental / BASF</t>
        </is>
      </c>
      <c r="D5" s="6" t="inlineStr">
        <is>
          <t>Convert the three items EIB asked for; staged HIIF commitment; Credia CP list; gate-fee amendment; supplier-approval letter</t>
        </is>
      </c>
      <c r="E5" s="6" t="inlineStr">
        <is>
          <t>Direct email + call within 48h; weekly cadence; one owner per thread</t>
        </is>
      </c>
      <c r="F5" s="6" t="inlineStr">
        <is>
          <t>Sep 2026 Snapshot; EIB Q&amp;A pack; HIIF IM 001; PwC model v.6; PMO reset with end-date and budget (do not circulate the reset without them)</t>
        </is>
      </c>
      <c r="G5" s="6" t="inlineStr">
        <is>
          <t>EIB 'Go' or written 'No' by 31-10; HIIF IC date fixed; Credia credit calendar; Ecoelastika amendment signed</t>
        </is>
      </c>
      <c r="H5" s="6" t="inlineStr">
        <is>
          <t>KM</t>
        </is>
      </c>
    </row>
    <row r="6">
      <c r="A6" s="6" t="inlineStr">
        <is>
          <t>Wave 1</t>
        </is>
      </c>
      <c r="B6" s="6" t="inlineStr">
        <is>
          <t>Weeks 1-4 (Oct 2026)</t>
        </is>
      </c>
      <c r="C6" s="6" t="inlineStr">
        <is>
          <t>Tier 1 cold targets: Rivage ECDS, Eiffel bridge, Polestar, Tiger Infrastructure, Incus, Cross Ocean, Blantyre; CPEF: Chicago Atlantic, Artemis, Kreos (Constantinides), Cantourage / Curaleaf offtake</t>
        </is>
      </c>
      <c r="D6" s="6" t="inlineStr">
        <is>
          <t>One meeting per firm; test appetite and price for the €35m hybrid and a €3m to €10m Curity facility</t>
        </is>
      </c>
      <c r="E6" s="6" t="inlineStr">
        <is>
          <t>LinkedIn connection note (2 lines, one hook) + email same day where published; follow-up day 5 and day 12; stop after 3 touches</t>
        </is>
      </c>
      <c r="F6" s="6" t="inlineStr">
        <is>
          <t>3-page teaser per sub-fund (no PMO reset language); data-room index; term-sheet skeleton</t>
        </is>
      </c>
      <c r="G6" s="6" t="inlineStr">
        <is>
          <t>≥6 first meetings; ≥2 indicative term sheets by week 8</t>
        </is>
      </c>
      <c r="H6" s="6" t="inlineStr">
        <is>
          <t>KM / Venero</t>
        </is>
      </c>
    </row>
    <row r="7">
      <c r="A7" s="6" t="inlineStr">
        <is>
          <t>Wave 2</t>
        </is>
      </c>
      <c r="B7" s="6" t="inlineStr">
        <is>
          <t>Weeks 5-10 (Nov-Dec 2026)</t>
        </is>
      </c>
      <c r="C7" s="6" t="inlineStr">
        <is>
          <t>Tier 2: Kartesia, Tikehau Special Opps, Hayfin Special Opps, Castlelake, Davidson Kempner Greece, Arrow, Chenavari, NorthWall, Arcano, Alantra Athens, Infranity ERDF; Greek banks Piraeus / Eurobank / NBG; placement boutiques (Threadmark, Elm, Cebile, Axia process)</t>
        </is>
      </c>
      <c r="D7" s="6" t="inlineStr">
        <is>
          <t>Build competitive tension for the senior and hybrid tranches; select one placement boutique for IVP</t>
        </is>
      </c>
      <c r="E7" s="6" t="inlineStr">
        <is>
          <t>Warm intro where available (PwC, Axia, Argus, Sirec), else LinkedIn first; Ecomondo (3-6 Nov) and Capital Link NY (7 Dec) meetings pre-booked</t>
        </is>
      </c>
      <c r="F7" s="6" t="inlineStr">
        <is>
          <t>Firm EPC price (31-10) and TDD summary; refreshed returns</t>
        </is>
      </c>
      <c r="G7" s="6" t="inlineStr">
        <is>
          <t>≥3 competing senior / hybrid indications; placement mandate signed on success fee</t>
        </is>
      </c>
      <c r="H7" s="6" t="inlineStr">
        <is>
          <t>Venero / AM</t>
        </is>
      </c>
    </row>
    <row r="8">
      <c r="A8" s="6" t="inlineStr">
        <is>
          <t>Wave 3</t>
        </is>
      </c>
      <c r="B8" s="6" t="inlineStr">
        <is>
          <t>Q1-Q2 2027</t>
        </is>
      </c>
      <c r="C8" s="6" t="inlineStr">
        <is>
          <t>Cyprus / Greek institutional: ETYK, PEO, Cyta, Lawyers', BoC provident funds; Greek TEAs; Ethniki / NN / Generali Hellas; Greek family offices (Laskaridis, Martinos, Latsis, Vardinogiannis); Gulf FOs (IPL only)</t>
        </is>
      </c>
      <c r="D8" s="6" t="inlineStr">
        <is>
          <t>Fund-level notes and IVP anchors</t>
        </is>
      </c>
      <c r="E8" s="6" t="inlineStr">
        <is>
          <t>Argus / Muhanna / Axia introductions; Cyprus Funds Summit (Nov 2026), SuperReturn Private Credit Europe (8-10 Mar 2027), PDI Europe (May 2027)</t>
        </is>
      </c>
      <c r="F8" s="6" t="inlineStr">
        <is>
          <t>IORP-compliant note structure; AIFMD Art. 23 pack; ELTIF feasibility memo</t>
        </is>
      </c>
      <c r="G8" s="6" t="inlineStr">
        <is>
          <t>€5m IPL closed; IVP first close plan with named anchors</t>
        </is>
      </c>
      <c r="H8" s="6" t="inlineStr">
        <is>
          <t>AM / CE</t>
        </is>
      </c>
    </row>
    <row r="10">
      <c r="A10" s="15" t="inlineStr">
        <is>
          <t>CHANNEL ECONOMICS (assumptions - replace with actuals)</t>
        </is>
      </c>
    </row>
    <row r="11" ht="30" customHeight="1">
      <c r="A11" s="5" t="inlineStr">
        <is>
          <t>Channel</t>
        </is>
      </c>
      <c r="B11" s="5" t="inlineStr">
        <is>
          <t>Reply rate (assumed)</t>
        </is>
      </c>
      <c r="C11" s="5" t="inlineStr">
        <is>
          <t>Meeting rate (assumed)</t>
        </is>
      </c>
      <c r="D11" s="5" t="inlineStr">
        <is>
          <t>Cost / effort</t>
        </is>
      </c>
      <c r="E11" s="5" t="inlineStr">
        <is>
          <t>When to use</t>
        </is>
      </c>
      <c r="F11" s="5" t="inlineStr">
        <is>
          <t>Basis</t>
        </is>
      </c>
      <c r="G11" s="5" t="inlineStr"/>
      <c r="H11" s="5" t="inlineStr"/>
    </row>
    <row r="12">
      <c r="A12" s="6" t="inlineStr">
        <is>
          <t>Warm introduction (Argus / Venero / Sirec / KPMG / PwC / Pyrum / EIB)</t>
        </is>
      </c>
      <c r="B12" s="6" t="inlineStr">
        <is>
          <t>60-80%</t>
        </is>
      </c>
      <c r="C12" s="6" t="inlineStr">
        <is>
          <t>40-60%</t>
        </is>
      </c>
      <c r="D12" s="6" t="inlineStr">
        <is>
          <t>Low cash, high relationship capital</t>
        </is>
      </c>
      <c r="E12" s="6" t="inlineStr">
        <is>
          <t>Always first where a path exists</t>
        </is>
      </c>
      <c r="F12" s="6" t="inlineStr">
        <is>
          <t>Placement-agent convention; Impactus own history (Rodopoulos, Sirec, AstroBank all came via intermediaries)</t>
        </is>
      </c>
      <c r="G12" s="6" t="inlineStr"/>
      <c r="H12" s="6" t="inlineStr"/>
    </row>
    <row r="13">
      <c r="A13" s="6" t="inlineStr">
        <is>
          <t>Published work email + same-day LinkedIn connection note</t>
        </is>
      </c>
      <c r="B13" s="6" t="inlineStr">
        <is>
          <t>15-25%</t>
        </is>
      </c>
      <c r="C13" s="6" t="inlineStr">
        <is>
          <t>8-12%</t>
        </is>
      </c>
      <c r="D13" s="6" t="inlineStr">
        <is>
          <t>Low</t>
        </is>
      </c>
      <c r="E13" s="6" t="inlineStr">
        <is>
          <t>Named decision-maker, no warm path</t>
        </is>
      </c>
      <c r="F13" s="6" t="inlineStr">
        <is>
          <t>Cold outreach benchmarks for institutional capital raising (Preqin / placement agents cite 10-20% reply to targeted, personalised notes)</t>
        </is>
      </c>
      <c r="G13" s="6" t="inlineStr"/>
      <c r="H13" s="6" t="inlineStr"/>
    </row>
    <row r="14">
      <c r="A14" s="6" t="inlineStr">
        <is>
          <t>LinkedIn InMail / connection note only</t>
        </is>
      </c>
      <c r="B14" s="6" t="inlineStr">
        <is>
          <t>8-15%</t>
        </is>
      </c>
      <c r="C14" s="6" t="inlineStr">
        <is>
          <t>3-6%</t>
        </is>
      </c>
      <c r="D14" s="6" t="inlineStr">
        <is>
          <t>Low</t>
        </is>
      </c>
      <c r="E14" s="6" t="inlineStr">
        <is>
          <t>When email unknown or bounces</t>
        </is>
      </c>
      <c r="F14" s="6" t="inlineStr">
        <is>
          <t>LinkedIn Sales Navigator published InMail benchmarks 10-25% for personalised messages; institutional investors lower</t>
        </is>
      </c>
      <c r="G14" s="6" t="inlineStr"/>
      <c r="H14" s="6" t="inlineStr"/>
    </row>
    <row r="15">
      <c r="A15" s="6" t="inlineStr">
        <is>
          <t>Conference meeting request (pre-booked via app)</t>
        </is>
      </c>
      <c r="B15" s="6" t="inlineStr">
        <is>
          <t>30-50%</t>
        </is>
      </c>
      <c r="C15" s="6" t="inlineStr">
        <is>
          <t>20-35%</t>
        </is>
      </c>
      <c r="D15" s="6" t="inlineStr">
        <is>
          <t>High (travel, pass)</t>
        </is>
      </c>
      <c r="E15" s="6" t="inlineStr">
        <is>
          <t>Tier-1 targets clustered at one event</t>
        </is>
      </c>
      <c r="F15" s="6" t="inlineStr">
        <is>
          <t>PDI / SuperReturn organiser data on pre-booked meeting acceptance</t>
        </is>
      </c>
      <c r="G15" s="6" t="inlineStr"/>
      <c r="H15" s="6" t="inlineStr"/>
    </row>
    <row r="16">
      <c r="A16" s="6" t="inlineStr">
        <is>
          <t>Placement agent / capital advisor</t>
        </is>
      </c>
      <c r="B16" s="6" t="inlineStr">
        <is>
          <t>n/a</t>
        </is>
      </c>
      <c r="C16" s="6" t="inlineStr">
        <is>
          <t>n/a</t>
        </is>
      </c>
      <c r="D16" s="6" t="inlineStr">
        <is>
          <t>2-5% success fee; retainer risk</t>
        </is>
      </c>
      <c r="E16" s="6" t="inlineStr">
        <is>
          <t>Only for IVP-scale raise with a named target list</t>
        </is>
      </c>
      <c r="F16" s="6" t="inlineStr">
        <is>
          <t>Sergo proposal 5% / 2.5%; KPMG mandate; Venero engaged</t>
        </is>
      </c>
      <c r="G16" s="6" t="inlineStr"/>
      <c r="H16" s="6" t="inlineStr"/>
    </row>
    <row r="18">
      <c r="A18" s="15" t="inlineStr">
        <is>
          <t>MESSAGE ANGLES BY AUDIENCE</t>
        </is>
      </c>
    </row>
    <row r="19" ht="30" customHeight="1">
      <c r="A19" s="5" t="inlineStr">
        <is>
          <t>Audience</t>
        </is>
      </c>
      <c r="B19" s="5" t="inlineStr">
        <is>
          <t>Lead with (the bear case they will raise, answered)</t>
        </is>
      </c>
      <c r="C19" s="5" t="inlineStr">
        <is>
          <t>Proof point to attach</t>
        </is>
      </c>
      <c r="D19" s="5" t="inlineStr">
        <is>
          <t>Do not say</t>
        </is>
      </c>
      <c r="E19" s="5" t="inlineStr"/>
      <c r="F19" s="5" t="inlineStr"/>
      <c r="G19" s="5" t="inlineStr"/>
      <c r="H19" s="5" t="inlineStr"/>
    </row>
    <row r="20">
      <c r="A20" s="6" t="inlineStr">
        <is>
          <t>EIB / DFI venture debt</t>
        </is>
      </c>
      <c r="B20" s="6" t="inlineStr">
        <is>
          <t>Bear case: 'mezzanine risk without equity reward' (EIB, 30-04-2026). Answer: offer conversion right or 15% to 20% warrant coverage; show the Sokolov comparison and the Continental audit letter</t>
        </is>
      </c>
      <c r="C20" s="6" t="inlineStr">
        <is>
          <t>Innovation Fund GA GAP-101250821; STEP seal; Sirec executed TS at €34m post-money</t>
        </is>
      </c>
      <c r="D20" s="6" t="inlineStr">
        <is>
          <t>Do not say 'financing entirely secured' (Pyrum release) - EIB has read the fiche with FC 31-12-2026</t>
        </is>
      </c>
      <c r="E20" s="6" t="inlineStr"/>
      <c r="F20" s="6" t="inlineStr"/>
      <c r="G20" s="6" t="inlineStr"/>
      <c r="H20" s="6" t="inlineStr"/>
    </row>
    <row r="21">
      <c r="A21" s="6" t="inlineStr">
        <is>
          <t>Greek bank credit committee (Credia, Piraeus, Eurobank)</t>
        </is>
      </c>
      <c r="B21" s="6" t="inlineStr">
        <is>
          <t>Bear case: contracted gate fee is €62/t on 11ktpa, not €100/t on 45ktpa; rCB at €1,500/t is a CIF Dillingen price. Answer: size senior on contracted volumes; Ecoelastika amendment No.2; Pyrum letter for total rCB output</t>
        </is>
      </c>
      <c r="C21" s="6" t="inlineStr">
        <is>
          <t>Credia LOI 6.5% / 4+10y / 1.3x; TÜV Nord TDD; FIDIC Yellow Book EPC with guaranteed values</t>
        </is>
      </c>
      <c r="D21" s="6" t="inlineStr">
        <is>
          <t>Do not present the €176m sources table before the firm EPC price; do not cite Munich Re cover (withdrawn Feb 2026)</t>
        </is>
      </c>
      <c r="E21" s="6" t="inlineStr"/>
      <c r="F21" s="6" t="inlineStr"/>
      <c r="G21" s="6" t="inlineStr"/>
      <c r="H21" s="6" t="inlineStr"/>
    </row>
    <row r="22">
      <c r="A22" s="6" t="inlineStr">
        <is>
          <t>Special-situations / hybrid lender</t>
        </is>
      </c>
      <c r="B22" s="6" t="inlineStr">
        <is>
          <t>Bear case: every European pyrolysis project was funded by grant + strategic equity; no fund has done non-recourse debt; Enviro / Plastic Energy / Quantafuel failed in 2026. Answer: this tranche prices that risk - 14% to 18% all-in with warrants, senior to €21m of shareholder capital</t>
        </is>
      </c>
      <c r="C22" s="6" t="inlineStr">
        <is>
          <t>Circtec bp €12.5m offtaker-debt precedent; Bolder / Tiger; Xycle / Polestar senior</t>
        </is>
      </c>
      <c r="D22" s="6" t="inlineStr">
        <is>
          <t>Do not lead with 22% IRR / 3.0x equity targets to a credit investor</t>
        </is>
      </c>
      <c r="E22" s="6" t="inlineStr"/>
      <c r="F22" s="6" t="inlineStr"/>
      <c r="G22" s="6" t="inlineStr"/>
      <c r="H22" s="6" t="inlineStr"/>
    </row>
    <row r="23">
      <c r="A23" s="6" t="inlineStr">
        <is>
          <t>Impact / climate credit fund</t>
        </is>
      </c>
      <c r="B23" s="6" t="inlineStr">
        <is>
          <t>Bear case: FOAK technology plus licensor (Pyrum) financial fragility (FY2025 revenue €4.1m, breakeven delayed). Answer: TRL 8-9 with 8-year reference; 784,304 tCO2e; EU Innovation Fund validation; reactor-level warranty back-to-back with EPC</t>
        </is>
      </c>
      <c r="C23" s="6" t="inlineStr">
        <is>
          <t>CINEA grant; RHDHV TDD 2025; TÜV Nord 2026</t>
        </is>
      </c>
      <c r="D23" s="6" t="inlineStr">
        <is>
          <t>Do not describe the plant as 'proven at scale' - it is the first 45ktpa deployment</t>
        </is>
      </c>
      <c r="E23" s="6" t="inlineStr"/>
      <c r="F23" s="6" t="inlineStr"/>
      <c r="G23" s="6" t="inlineStr"/>
      <c r="H23" s="6" t="inlineStr"/>
    </row>
    <row r="24">
      <c r="A24" s="6" t="inlineStr">
        <is>
          <t>Cyprus provident fund / Greek TEA</t>
        </is>
      </c>
      <c r="B24" s="6" t="inlineStr">
        <is>
          <t>Bear case (LP DD lead): 8% coupon on the PE Fund has been serviced while assets are pre-revenue; internal note Aug 2025 sought c.€3m of new money for 2027-28 opex and coupon. Answer: show the coupon-coverage bridge from Curity distributions and Thermo Lysi fees, and ring-fence the note collateral</t>
        </is>
      </c>
      <c r="C24" s="6" t="inlineStr">
        <is>
          <t>Audited RAIF accounts; AIFMD Art. 23 document; Argus as AIFM; EY-reviewed fair value</t>
        </is>
      </c>
      <c r="D24" s="6" t="inlineStr">
        <is>
          <t>Do not describe the coupon as 'paid from returns' unless the cash bridge shows it</t>
        </is>
      </c>
      <c r="E24" s="6" t="inlineStr"/>
      <c r="F24" s="6" t="inlineStr"/>
      <c r="G24" s="6" t="inlineStr"/>
      <c r="H24" s="6" t="inlineStr"/>
    </row>
    <row r="25">
      <c r="A25" s="6" t="inlineStr">
        <is>
          <t>Specialist cannabis lender (Chicago Atlantic, AFC, Artemis)</t>
        </is>
      </c>
      <c r="B25" s="6" t="inlineStr">
        <is>
          <t>Bear case: German price €8.33/g to €4.52/g in 15 months; GKV flower reimbursement removed 30-07-2026; every European distressed exit recovered a fraction of cost (Clever Leaves €2.5m). Answer: underwrite at ≤€2.30/g BfArM reference; security over EU-GMP plant, land and Galenica / German offtake receivables</t>
        </is>
      </c>
      <c r="C25" s="6" t="inlineStr">
        <is>
          <t>EOF GMP licence; first exports; Galenica distribution from Oct 2026; €22.2m last mark</t>
        </is>
      </c>
      <c r="D25" s="6" t="inlineStr">
        <is>
          <t>Do not cite the €4.85/g base case as the underwriting case</t>
        </is>
      </c>
      <c r="E25" s="6" t="inlineStr"/>
      <c r="F25" s="6" t="inlineStr"/>
      <c r="G25" s="6" t="inlineStr"/>
      <c r="H25" s="6" t="inlineStr"/>
    </row>
    <row r="26">
      <c r="A26" s="6" t="inlineStr">
        <is>
          <t>Placement agent / capital advisor</t>
        </is>
      </c>
      <c r="B26" s="6" t="inlineStr">
        <is>
          <t>Bear case: first-time GP, sub-€100m, two sectors most LPs screen out, no institutional anchor. Answer: name the anchors (Sirec, HIIF, Cyprus provident funds), the grant, and the exit thesis to industrials</t>
        </is>
      </c>
      <c r="C26" s="6" t="inlineStr">
        <is>
          <t>Track record page; 5.75x realised partial exit; 8% coupon record</t>
        </is>
      </c>
      <c r="D26" s="6" t="inlineStr">
        <is>
          <t>Do not accept a retainer above €25k without a named target list</t>
        </is>
      </c>
      <c r="E26" s="6" t="inlineStr"/>
      <c r="F26" s="6" t="inlineStr"/>
      <c r="G26" s="6" t="inlineStr"/>
      <c r="H26" s="6" t="inlineStr"/>
    </row>
    <row r="27">
      <c r="A27" s="6" t="inlineStr">
        <is>
          <t>Strategic / offtaker (BASF, Continental, Pirelli, Archirodon)</t>
        </is>
      </c>
      <c r="B27" s="6" t="inlineStr">
        <is>
          <t>Bear case: they can wait for the market to prove itself and buy later. Answer: prepayment secures supply at a floor price and pre-empts the VTTI / Antwerp 90ktpa plant on the same technology</t>
        </is>
      </c>
      <c r="C27" s="6" t="inlineStr">
        <is>
          <t>Continental advance-payment precedent; bp / Circtec; Pirelli tyre-to-tyre</t>
        </is>
      </c>
      <c r="D27" s="6" t="inlineStr">
        <is>
          <t>Do not ask for equity first - ask for the prepayment</t>
        </is>
      </c>
      <c r="E27" s="6" t="inlineStr"/>
      <c r="F27" s="6" t="inlineStr"/>
      <c r="G27" s="6" t="inlineStr"/>
      <c r="H27" s="6" t="inlineStr"/>
    </row>
  </sheetData>
  <pageMargins left="0.75" right="0.75" top="1" bottom="1" header="0.5" footer="0.5"/>
</worksheet>
</file>

<file path=xl/worksheets/sheet12.xml><?xml version="1.0" encoding="utf-8"?>
<worksheet xmlns="http://schemas.openxmlformats.org/spreadsheetml/2006/main">
  <sheetPr>
    <tabColor rgb="007F7F7F"/>
    <outlinePr summaryBelow="1" summaryRight="1"/>
    <pageSetUpPr/>
  </sheetPr>
  <dimension ref="A1:G18"/>
  <sheetViews>
    <sheetView showGridLines="0" workbookViewId="0">
      <selection activeCell="A1" sqref="A1"/>
    </sheetView>
  </sheetViews>
  <sheetFormatPr baseColWidth="8" defaultRowHeight="15"/>
  <cols>
    <col width="40" customWidth="1" min="1" max="1"/>
    <col width="18" customWidth="1" min="2" max="2"/>
    <col width="18" customWidth="1" min="3" max="3"/>
    <col width="40" customWidth="1" min="4" max="4"/>
    <col width="40" customWidth="1" min="5" max="5"/>
    <col width="40" customWidth="1" min="6" max="6"/>
    <col width="44" customWidth="1" min="7" max="7"/>
  </cols>
  <sheetData>
    <row r="1">
      <c r="A1" s="1" t="inlineStr">
        <is>
          <t>Where these allocators are in the next twelve months</t>
        </is>
      </c>
    </row>
    <row r="2">
      <c r="A2" s="2" t="inlineStr">
        <is>
          <t>Dates as published by organisers at the time of research; verify before booking</t>
        </is>
      </c>
    </row>
    <row r="4" ht="30" customHeight="1">
      <c r="A4" s="5" t="inlineStr">
        <is>
          <t>Event</t>
        </is>
      </c>
      <c r="B4" s="5" t="inlineStr">
        <is>
          <t>Dates</t>
        </is>
      </c>
      <c r="C4" s="5" t="inlineStr">
        <is>
          <t>Location</t>
        </is>
      </c>
      <c r="D4" s="5" t="inlineStr">
        <is>
          <t>Audience</t>
        </is>
      </c>
      <c r="E4" s="5" t="inlineStr">
        <is>
          <t>Relevance</t>
        </is>
      </c>
      <c r="F4" s="5" t="inlineStr">
        <is>
          <t>Action</t>
        </is>
      </c>
      <c r="G4" s="5" t="inlineStr">
        <is>
          <t>Source URL</t>
        </is>
      </c>
    </row>
    <row r="5">
      <c r="A5" s="6" t="inlineStr">
        <is>
          <t>Ecomondo 2026</t>
        </is>
      </c>
      <c r="B5" s="6" t="inlineStr">
        <is>
          <t>3-6 Nov 2026</t>
        </is>
      </c>
      <c r="C5" s="6" t="inlineStr">
        <is>
          <t>Rimini</t>
        </is>
      </c>
      <c r="D5" s="6" t="inlineStr">
        <is>
          <t>1,700 exhibitors; pyrolysis offtakers; ETRA members</t>
        </is>
      </c>
      <c r="E5" s="6" t="inlineStr">
        <is>
          <t>IPL offtake and feedstock; rCB buyers</t>
        </is>
      </c>
      <c r="F5" s="6" t="inlineStr">
        <is>
          <t>Pre-book Continental / Pirelli / BASF / Ecoelastika meetings</t>
        </is>
      </c>
      <c r="G5" s="6" t="inlineStr">
        <is>
          <t>https://www.ecomondo.com/en/exhibit/dates-and-set-up-times</t>
        </is>
      </c>
    </row>
    <row r="6">
      <c r="A6" s="6" t="inlineStr">
        <is>
          <t>12th Cyprus International Funds Summit &amp; Expo (IMH)</t>
        </is>
      </c>
      <c r="B6" s="6" t="inlineStr">
        <is>
          <t>Nov 2026 (confirm date)</t>
        </is>
      </c>
      <c r="C6" s="6" t="inlineStr">
        <is>
          <t>Limassol</t>
        </is>
      </c>
      <c r="D6" s="6" t="inlineStr">
        <is>
          <t>CySEC, CIFA, Cyprus provident funds, depositaries</t>
        </is>
      </c>
      <c r="E6" s="6" t="inlineStr">
        <is>
          <t>Wave 3 provident funds; Eurobank Cyprus</t>
        </is>
      </c>
      <c r="F6" s="6" t="inlineStr">
        <is>
          <t>Speaking slot on Innovation Fund-backed infrastructure</t>
        </is>
      </c>
      <c r="G6" s="6" t="inlineStr">
        <is>
          <t>https://cyprusfundssummit.com/</t>
        </is>
      </c>
    </row>
    <row r="7">
      <c r="A7" s="6" t="inlineStr">
        <is>
          <t>European Chemical Recycling Forum (Inventu)</t>
        </is>
      </c>
      <c r="B7" s="6" t="inlineStr">
        <is>
          <t>2-3 Dec 2026</t>
        </is>
      </c>
      <c r="C7" s="6" t="inlineStr">
        <is>
          <t>TBC</t>
        </is>
      </c>
      <c r="D7" s="6" t="inlineStr">
        <is>
          <t>Chemical recycling investors and operators</t>
        </is>
      </c>
      <c r="E7" s="6" t="inlineStr">
        <is>
          <t>IPL / IVP peer investors (Infinity, Polestar, Invest-NL)</t>
        </is>
      </c>
      <c r="F7" s="6" t="inlineStr">
        <is>
          <t>Invitation received Sep 2026 - attend</t>
        </is>
      </c>
      <c r="G7" s="6" t="inlineStr">
        <is>
          <t>Outlook 17-09-2026 (lp@igfunds.eu)</t>
        </is>
      </c>
    </row>
    <row r="8">
      <c r="A8" s="6" t="inlineStr">
        <is>
          <t>28th Capital Link Invest in Greece Forum</t>
        </is>
      </c>
      <c r="B8" s="6" t="inlineStr">
        <is>
          <t>7 Dec 2026</t>
        </is>
      </c>
      <c r="C8" s="6" t="inlineStr">
        <is>
          <t>New York</t>
        </is>
      </c>
      <c r="D8" s="6" t="inlineStr">
        <is>
          <t>Greek insurers, HCAP, Greek-American family offices, Greek banks</t>
        </is>
      </c>
      <c r="E8" s="6" t="inlineStr">
        <is>
          <t>IVP anchors; Chicago Atlantic (Mazarakis) diaspora angle</t>
        </is>
      </c>
      <c r="F8" s="6" t="inlineStr">
        <is>
          <t>Book meetings with Piraeus / Eurobank / NBG delegations</t>
        </is>
      </c>
      <c r="G8" s="6" t="inlineStr">
        <is>
          <t>https://capitallink.com/forums/28th-annual-capital-link-invest-in-greece-forum/</t>
        </is>
      </c>
    </row>
    <row r="9">
      <c r="A9" s="6" t="inlineStr">
        <is>
          <t>IPEM Wealth 2027</t>
        </is>
      </c>
      <c r="B9" s="6" t="inlineStr">
        <is>
          <t>2-4 Feb 2027</t>
        </is>
      </c>
      <c r="C9" s="6" t="inlineStr">
        <is>
          <t>Cannes</t>
        </is>
      </c>
      <c r="D9" s="6" t="inlineStr">
        <is>
          <t>Wealth / semi-liquid distributors</t>
        </is>
      </c>
      <c r="E9" s="6" t="inlineStr">
        <is>
          <t>PE Fund and note distribution</t>
        </is>
      </c>
      <c r="F9" s="6" t="inlineStr">
        <is>
          <t>Optional</t>
        </is>
      </c>
      <c r="G9" s="6" t="inlineStr">
        <is>
          <t>https://www.ipem-market.com/ipem-wealth/</t>
        </is>
      </c>
    </row>
    <row r="10">
      <c r="A10" s="6" t="inlineStr">
        <is>
          <t>FFA 16th Global Fund Finance Symposium</t>
        </is>
      </c>
      <c r="B10" s="6" t="inlineStr">
        <is>
          <t>Feb 2027</t>
        </is>
      </c>
      <c r="C10" s="6" t="inlineStr">
        <is>
          <t>Miami Beach</t>
        </is>
      </c>
      <c r="D10" s="6" t="inlineStr">
        <is>
          <t>NAV / sub-line lenders</t>
        </is>
      </c>
      <c r="E10" s="6" t="inlineStr">
        <is>
          <t>Low - scale mismatch</t>
        </is>
      </c>
      <c r="F10" s="6" t="inlineStr">
        <is>
          <t>Skip</t>
        </is>
      </c>
      <c r="G10" s="6" t="inlineStr">
        <is>
          <t>https://fundfinanceassociation.com/events/americas/02-01-27-global-symposium/</t>
        </is>
      </c>
    </row>
    <row r="11">
      <c r="A11" s="6" t="inlineStr">
        <is>
          <t>SuperReturn Private Credit Europe 2027</t>
        </is>
      </c>
      <c r="B11" s="6" t="inlineStr">
        <is>
          <t>8-10 Mar 2027</t>
        </is>
      </c>
      <c r="C11" s="6" t="inlineStr">
        <is>
          <t>London</t>
        </is>
      </c>
      <c r="D11" s="6" t="inlineStr">
        <is>
          <t>Credit allocators, special-sits and ABF desks (ABF summit day)</t>
        </is>
      </c>
      <c r="E11" s="6" t="inlineStr">
        <is>
          <t>Wave 2 hybrid lenders in one room</t>
        </is>
      </c>
      <c r="F11" s="6" t="inlineStr">
        <is>
          <t>Pre-book 10 meetings via app; attend ABF day</t>
        </is>
      </c>
      <c r="G11" s="6" t="inlineStr">
        <is>
          <t>https://www.neventum.com/tradeshows/superreturn-private-credite-europe</t>
        </is>
      </c>
    </row>
    <row r="12">
      <c r="A12" s="6" t="inlineStr">
        <is>
          <t>32nd ETRA Conference on Tyre Recycling</t>
        </is>
      </c>
      <c r="B12" s="6" t="inlineStr">
        <is>
          <t>Mar 2027 (TBC)</t>
        </is>
      </c>
      <c r="C12" s="6" t="inlineStr">
        <is>
          <t>Brussels</t>
        </is>
      </c>
      <c r="D12" s="6" t="inlineStr">
        <is>
          <t>Tyre recyclers, rCB offtakers, regulators</t>
        </is>
      </c>
      <c r="E12" s="6" t="inlineStr">
        <is>
          <t>Feedstock and offtake; ELVR review</t>
        </is>
      </c>
      <c r="F12" s="6" t="inlineStr">
        <is>
          <t>Attend; present Thermo Lysi</t>
        </is>
      </c>
      <c r="G12" s="6" t="inlineStr">
        <is>
          <t>https://etra-eu.org/events</t>
        </is>
      </c>
    </row>
    <row r="13">
      <c r="A13" s="6" t="inlineStr">
        <is>
          <t>ICBC Berlin 2027</t>
        </is>
      </c>
      <c r="B13" s="6" t="inlineStr">
        <is>
          <t>13-15 Apr 2027</t>
        </is>
      </c>
      <c r="C13" s="6" t="inlineStr">
        <is>
          <t>Berlin</t>
        </is>
      </c>
      <c r="D13" s="6" t="inlineStr">
        <is>
          <t>Cannabis operators and investors</t>
        </is>
      </c>
      <c r="E13" s="6" t="inlineStr">
        <is>
          <t>CPEF: Artemis, Casa Verde, Cantourage, Bloomwell, Chicago Atlantic</t>
        </is>
      </c>
      <c r="F13" s="6" t="inlineStr">
        <is>
          <t>Attend with Curity management</t>
        </is>
      </c>
      <c r="G13" s="6" t="inlineStr">
        <is>
          <t>https://internationalcbc.com/berlin/schedule/</t>
        </is>
      </c>
    </row>
    <row r="14">
      <c r="A14" s="6" t="inlineStr">
        <is>
          <t>PDI Europe Summit 2027</t>
        </is>
      </c>
      <c r="B14" s="6" t="inlineStr">
        <is>
          <t>May 2027 (2026: 5-6 May)</t>
        </is>
      </c>
      <c r="C14" s="6" t="inlineStr">
        <is>
          <t>London</t>
        </is>
      </c>
      <c r="D14" s="6" t="inlineStr">
        <is>
          <t>c.150 private-credit LPs</t>
        </is>
      </c>
      <c r="E14" s="6" t="inlineStr">
        <is>
          <t>IVP credit sleeve; placement agents</t>
        </is>
      </c>
      <c r="F14" s="6" t="inlineStr">
        <is>
          <t>Attend if IVP is in market</t>
        </is>
      </c>
      <c r="G14" s="6" t="inlineStr">
        <is>
          <t>https://live.peievents.com/private-credit/europe</t>
        </is>
      </c>
    </row>
    <row r="15">
      <c r="A15" s="6" t="inlineStr">
        <is>
          <t>Cannabis Europa London 2027</t>
        </is>
      </c>
      <c r="B15" s="6" t="inlineStr">
        <is>
          <t>TBA (2026: 26-27 May)</t>
        </is>
      </c>
      <c r="C15" s="6" t="inlineStr">
        <is>
          <t>London</t>
        </is>
      </c>
      <c r="D15" s="6" t="inlineStr">
        <is>
          <t>European cannabis capital</t>
        </is>
      </c>
      <c r="E15" s="6" t="inlineStr">
        <is>
          <t>CPEF investors and offtakers</t>
        </is>
      </c>
      <c r="F15" s="6" t="inlineStr">
        <is>
          <t>Attend</t>
        </is>
      </c>
      <c r="G15" s="6" t="inlineStr">
        <is>
          <t>https://cannabis-europa.com/events/cannabis-europa-london-2026/</t>
        </is>
      </c>
    </row>
    <row r="16">
      <c r="A16" s="6" t="inlineStr">
        <is>
          <t>SuperReturn International 2027</t>
        </is>
      </c>
      <c r="B16" s="6" t="inlineStr">
        <is>
          <t>7-11 Jun 2027</t>
        </is>
      </c>
      <c r="C16" s="6" t="inlineStr">
        <is>
          <t>Berlin</t>
        </is>
      </c>
      <c r="D16" s="6" t="inlineStr">
        <is>
          <t>Full LP universe</t>
        </is>
      </c>
      <c r="E16" s="6" t="inlineStr">
        <is>
          <t>IVP</t>
        </is>
      </c>
      <c r="F16" s="6" t="inlineStr">
        <is>
          <t>Only with a placement agent</t>
        </is>
      </c>
      <c r="G16" s="6" t="inlineStr">
        <is>
          <t>https://informaconnect.com/superreturn-international/</t>
        </is>
      </c>
    </row>
    <row r="17">
      <c r="A17" s="6" t="inlineStr">
        <is>
          <t>FFA 11th European Fund Finance Symposium</t>
        </is>
      </c>
      <c r="B17" s="6" t="inlineStr">
        <is>
          <t>21-22 Jun 2027</t>
        </is>
      </c>
      <c r="C17" s="6" t="inlineStr">
        <is>
          <t>London</t>
        </is>
      </c>
      <c r="D17" s="6" t="inlineStr">
        <is>
          <t>European sub-line / NAV lenders</t>
        </is>
      </c>
      <c r="E17" s="6" t="inlineStr">
        <is>
          <t>Low</t>
        </is>
      </c>
      <c r="F17" s="6" t="inlineStr">
        <is>
          <t>Skip</t>
        </is>
      </c>
      <c r="G17" s="6" t="inlineStr">
        <is>
          <t>https://fundfinanceassociation.com/events/emea/</t>
        </is>
      </c>
    </row>
    <row r="18">
      <c r="A18" s="6" t="inlineStr">
        <is>
          <t>Infrastructure Investor Global Summit 2027</t>
        </is>
      </c>
      <c r="B18" s="6" t="inlineStr">
        <is>
          <t>Mar 2027 (Berlin; booking live)</t>
        </is>
      </c>
      <c r="C18" s="6" t="inlineStr">
        <is>
          <t>Berlin</t>
        </is>
      </c>
      <c r="D18" s="6" t="inlineStr">
        <is>
          <t>1,200+ LPs; infra debt funds</t>
        </is>
      </c>
      <c r="E18" s="6" t="inlineStr">
        <is>
          <t>IVP / infra debt at operations</t>
        </is>
      </c>
      <c r="F18" s="6" t="inlineStr">
        <is>
          <t>Invitation in mailbox (Jul / Sep 2026)</t>
        </is>
      </c>
      <c r="G18" s="6" t="inlineStr">
        <is>
          <t>Outlook insight@mail.infrastructureinvestor.com</t>
        </is>
      </c>
    </row>
  </sheetData>
  <pageMargins left="0.75" right="0.75" top="1" bottom="1" header="0.5" footer="0.5"/>
</worksheet>
</file>

<file path=xl/worksheets/sheet13.xml><?xml version="1.0" encoding="utf-8"?>
<worksheet xmlns="http://schemas.openxmlformats.org/spreadsheetml/2006/main">
  <sheetPr>
    <tabColor rgb="002E75B6"/>
    <outlinePr summaryBelow="1" summaryRight="1"/>
    <pageSetUpPr/>
  </sheetPr>
  <dimension ref="A1:K17"/>
  <sheetViews>
    <sheetView showGridLines="0" workbookViewId="0">
      <selection activeCell="A1" sqref="A1"/>
    </sheetView>
  </sheetViews>
  <sheetFormatPr baseColWidth="8" defaultRowHeight="15"/>
  <cols>
    <col width="40" customWidth="1" min="1" max="1"/>
    <col width="12" customWidth="1" min="2" max="2"/>
    <col width="90" customWidth="1" min="3" max="3"/>
  </cols>
  <sheetData>
    <row r="1">
      <c r="A1" s="1" t="inlineStr">
        <is>
          <t>Scoring weights - change here; Investor_Universe and Cascade_Map_2026 recalculate</t>
        </is>
      </c>
    </row>
    <row r="2">
      <c r="A2" s="2" t="inlineStr">
        <is>
          <t>Each criterion is scored 0 to 5 per firm; weighted score = SUMPRODUCT(scores, weights) / SUM(weights) x 20 -&gt; 0 to 100</t>
        </is>
      </c>
    </row>
    <row r="4" ht="30" customHeight="1">
      <c r="A4" s="5" t="inlineStr">
        <is>
          <t>Criterion</t>
        </is>
      </c>
      <c r="B4" s="5" t="inlineStr">
        <is>
          <t>Weight</t>
        </is>
      </c>
      <c r="C4" s="5" t="inlineStr">
        <is>
          <t>What 5 means</t>
        </is>
      </c>
      <c r="E4" s="6" t="inlineStr">
        <is>
          <t>Helper row (weights transposed for SUMPRODUCT - do not edit)</t>
        </is>
      </c>
    </row>
    <row r="5">
      <c r="A5" s="6" t="inlineStr">
        <is>
          <t>Strategy fit - IPL (hard-asset / infra / FOAK credit)</t>
        </is>
      </c>
      <c r="B5" s="16" t="n">
        <v>25</v>
      </c>
      <c r="C5" s="6" t="inlineStr">
        <is>
          <t>Runs a strategy that lends to or invests in single-asset industrial / energy-transition projects at construction or pre-completion stage</t>
        </is>
      </c>
      <c r="E5" s="7">
        <f>B5</f>
        <v/>
      </c>
      <c r="F5" s="7">
        <f>B6</f>
        <v/>
      </c>
      <c r="G5" s="7">
        <f>B7</f>
        <v/>
      </c>
      <c r="H5" s="7">
        <f>B8</f>
        <v/>
      </c>
      <c r="I5" s="7">
        <f>B9</f>
        <v/>
      </c>
      <c r="J5" s="7">
        <f>B10</f>
        <v/>
      </c>
      <c r="K5" s="7">
        <f>B11</f>
        <v/>
      </c>
    </row>
    <row r="6">
      <c r="A6" s="6" t="inlineStr">
        <is>
          <t>Strategy fit - CPEF (pharma / cannabis / growth credit)</t>
        </is>
      </c>
      <c r="B6" s="16" t="n">
        <v>15</v>
      </c>
      <c r="C6" s="6" t="inlineStr">
        <is>
          <t>Lends to regulated pharma-adjacent or cannabis producers, or runs healthcare growth credit with no cannabis exclusion</t>
        </is>
      </c>
    </row>
    <row r="7">
      <c r="A7" s="6" t="inlineStr">
        <is>
          <t>Ticket fit (€5m to €40m)</t>
        </is>
      </c>
      <c r="B7" s="16" t="n">
        <v>15</v>
      </c>
      <c r="C7" s="6" t="inlineStr">
        <is>
          <t>Minimum ticket at or below €10m and sweet spot inside €5m to €40m</t>
        </is>
      </c>
    </row>
    <row r="8">
      <c r="A8" s="6" t="inlineStr">
        <is>
          <t>Geography (Greece / Cyprus / Southern Europe)</t>
        </is>
      </c>
      <c r="B8" s="16" t="n">
        <v>15</v>
      </c>
      <c r="C8" s="6" t="inlineStr">
        <is>
          <t>Has an office, portfolio or repeated deal history in Greece or Cyprus</t>
        </is>
      </c>
    </row>
    <row r="9">
      <c r="A9" s="6" t="inlineStr">
        <is>
          <t>Risk appetite (FOAK, PIK, warrants, sub-IG)</t>
        </is>
      </c>
      <c r="B9" s="16" t="n">
        <v>10</v>
      </c>
      <c r="C9" s="6" t="inlineStr">
        <is>
          <t>Documented appetite for first-of-a-kind technology, PIK, warrants or construction risk</t>
        </is>
      </c>
    </row>
    <row r="10">
      <c r="A10" s="6" t="inlineStr">
        <is>
          <t>Warm path (existing Impactus relationship or one-step intro)</t>
        </is>
      </c>
      <c r="B10" s="16" t="n">
        <v>10</v>
      </c>
      <c r="C10" s="6" t="inlineStr">
        <is>
          <t>Already in the Impactus pipeline, or reachable via Argus, Venero, Sirec, KPMG, PwC, Axia, Pyrum, Archirodon, EIB</t>
        </is>
      </c>
    </row>
    <row r="11">
      <c r="A11" s="6" t="inlineStr">
        <is>
          <t>Speed / decision process</t>
        </is>
      </c>
      <c r="B11" s="16" t="n">
        <v>10</v>
      </c>
      <c r="C11" s="6" t="inlineStr">
        <is>
          <t>Documented ability to close in under six months; small IC; local decision-maker</t>
        </is>
      </c>
    </row>
    <row r="12">
      <c r="A12" s="15" t="inlineStr">
        <is>
          <t>Total weight</t>
        </is>
      </c>
      <c r="B12" s="37">
        <f>SUM(B5:B11)</f>
        <v/>
      </c>
    </row>
    <row r="14">
      <c r="A14" s="15" t="inlineStr">
        <is>
          <t>Tier thresholds (weighted score 0-100)</t>
        </is>
      </c>
    </row>
    <row r="15">
      <c r="A15" s="6" t="inlineStr">
        <is>
          <t>Tier 1 - approach in Wave 1 (score &gt;=)</t>
        </is>
      </c>
      <c r="B15" s="16" t="n">
        <v>70</v>
      </c>
    </row>
    <row r="16">
      <c r="A16" s="6" t="inlineStr">
        <is>
          <t>Tier 2 - approach in Wave 2 (score &gt;=)</t>
        </is>
      </c>
      <c r="B16" s="16" t="n">
        <v>50</v>
      </c>
    </row>
    <row r="17">
      <c r="A17" s="6" t="inlineStr">
        <is>
          <t>Tier 3 - keep informed only (below Tier 2)</t>
        </is>
      </c>
      <c r="B17" s="6" t="inlineStr"/>
    </row>
  </sheetData>
  <pageMargins left="0.75" right="0.75" top="1" bottom="1" header="0.5" footer="0.5"/>
</worksheet>
</file>

<file path=xl/worksheets/sheet14.xml><?xml version="1.0" encoding="utf-8"?>
<worksheet xmlns="http://schemas.openxmlformats.org/spreadsheetml/2006/main">
  <sheetPr>
    <tabColor rgb="007F7F7F"/>
    <outlinePr summaryBelow="1" summaryRight="1"/>
    <pageSetUpPr/>
  </sheetPr>
  <dimension ref="A1:E27"/>
  <sheetViews>
    <sheetView showGridLines="0" workbookViewId="0">
      <pane ySplit="4" topLeftCell="A5" activePane="bottomLeft" state="frozen"/>
      <selection pane="bottomLeft" activeCell="A1" sqref="A1"/>
    </sheetView>
  </sheetViews>
  <sheetFormatPr baseColWidth="8" defaultRowHeight="15"/>
  <cols>
    <col width="46" customWidth="1" min="1" max="1"/>
    <col width="40" customWidth="1" min="2" max="2"/>
    <col width="8" customWidth="1" min="3" max="3"/>
    <col width="38" customWidth="1" min="4" max="4"/>
    <col width="70" customWidth="1" min="5" max="5"/>
  </cols>
  <sheetData>
    <row r="1">
      <c r="A1" s="1" t="inlineStr">
        <is>
          <t>Raise parameters and internal reference points (Sponsor sources, September 2026)</t>
        </is>
      </c>
    </row>
    <row r="2">
      <c r="A2" s="2" t="inlineStr">
        <is>
          <t>All figures as they stand in the Sponsor's own working documents; PMO 02-09-2026 reset flagged where relevant</t>
        </is>
      </c>
    </row>
    <row r="4" ht="30" customHeight="1">
      <c r="A4" s="5" t="inlineStr">
        <is>
          <t>Item</t>
        </is>
      </c>
      <c r="B4" s="5" t="inlineStr">
        <is>
          <t>Value</t>
        </is>
      </c>
      <c r="C4" s="5" t="inlineStr">
        <is>
          <t>Unit</t>
        </is>
      </c>
      <c r="D4" s="5" t="inlineStr">
        <is>
          <t>Source</t>
        </is>
      </c>
      <c r="E4" s="5" t="inlineStr">
        <is>
          <t>Comment / DD flag</t>
        </is>
      </c>
    </row>
    <row r="5">
      <c r="A5" s="6" t="inlineStr">
        <is>
          <t>Sub-fund / vehicle</t>
        </is>
      </c>
      <c r="B5" s="6" t="inlineStr">
        <is>
          <t>Impactus Pyrolysis Ltd (IPL) - sponsor vehicle of Thermo Lysi S.A.</t>
        </is>
      </c>
      <c r="C5" s="6" t="inlineStr"/>
      <c r="D5" s="6" t="inlineStr">
        <is>
          <t>Thermolysi Company Snapshot Sep 2026 v2</t>
        </is>
      </c>
      <c r="E5" s="6" t="inlineStr"/>
    </row>
    <row r="6">
      <c r="A6" s="6" t="inlineStr">
        <is>
          <t>Current ask (IPL)</t>
        </is>
      </c>
      <c r="B6" s="38" t="n">
        <v>5</v>
      </c>
      <c r="C6" s="6" t="inlineStr">
        <is>
          <t>€m</t>
        </is>
      </c>
      <c r="D6" s="6" t="inlineStr">
        <is>
          <t>Indicative Term Sheet 11-09-2026 v2</t>
        </is>
      </c>
      <c r="E6" s="6" t="inlineStr">
        <is>
          <t>Share capital increase, €50m pre-money, c.9.1% at full subscription</t>
        </is>
      </c>
    </row>
    <row r="7">
      <c r="A7" s="6" t="inlineStr">
        <is>
          <t>Target return (IPL)</t>
        </is>
      </c>
      <c r="B7" s="6" t="inlineStr">
        <is>
          <t>22% IRR / 3.0x over 5 years</t>
        </is>
      </c>
      <c r="C7" s="6" t="inlineStr"/>
      <c r="D7" s="6" t="inlineStr">
        <is>
          <t>Sponsor IM Feb 2026</t>
        </is>
      </c>
      <c r="E7" s="6" t="inlineStr">
        <is>
          <t>Gross; to be refreshed on firm EPC price (31-10-2026)</t>
        </is>
      </c>
    </row>
    <row r="8">
      <c r="A8" s="6" t="inlineStr">
        <is>
          <t>Plant capacity</t>
        </is>
      </c>
      <c r="B8" s="38" t="n">
        <v>45</v>
      </c>
      <c r="C8" s="6" t="inlineStr">
        <is>
          <t>ktpa</t>
        </is>
      </c>
      <c r="D8" s="6" t="inlineStr">
        <is>
          <t>Snapshot p.5</t>
        </is>
      </c>
      <c r="E8" s="6" t="inlineStr">
        <is>
          <t>Two lines of 22.5ktpa; six Pyrum TD3 reactors</t>
        </is>
      </c>
    </row>
    <row r="9">
      <c r="A9" s="6" t="inlineStr">
        <is>
          <t>Plant capex (PwC Iteration 3 v.6)</t>
        </is>
      </c>
      <c r="B9" s="38" t="n">
        <v>118.5</v>
      </c>
      <c r="C9" s="6" t="inlineStr">
        <is>
          <t>€m</t>
        </is>
      </c>
      <c r="D9" s="6" t="inlineStr">
        <is>
          <t>Snapshot p.9</t>
        </is>
      </c>
      <c r="E9" s="6" t="inlineStr">
        <is>
          <t>2 x €59.2m; PMO 02-09-2026 flags €120m vs €150m unresolved</t>
        </is>
      </c>
    </row>
    <row r="10">
      <c r="A10" s="6" t="inlineStr">
        <is>
          <t>Total sources of funds</t>
        </is>
      </c>
      <c r="B10" s="38" t="n">
        <v>176</v>
      </c>
      <c r="C10" s="6" t="inlineStr">
        <is>
          <t>€m</t>
        </is>
      </c>
      <c r="D10" s="6" t="inlineStr">
        <is>
          <t>Snapshot p.9</t>
        </is>
      </c>
      <c r="E10" s="6" t="inlineStr">
        <is>
          <t>Includes development, fees, WC, reserves</t>
        </is>
      </c>
    </row>
    <row r="11">
      <c r="A11" s="6" t="inlineStr">
        <is>
          <t>EU Innovation Fund grant (signed 09-03-2026)</t>
        </is>
      </c>
      <c r="B11" s="38" t="n">
        <v>29.4</v>
      </c>
      <c r="C11" s="6" t="inlineStr">
        <is>
          <t>€m</t>
        </is>
      </c>
      <c r="D11" s="6" t="inlineStr">
        <is>
          <t>GAP-101250821</t>
        </is>
      </c>
      <c r="E11" s="6" t="inlineStr">
        <is>
          <t>Lump sum; WP1 €2.06m, WP2 €24.4m at entry into operation</t>
        </is>
      </c>
    </row>
    <row r="12">
      <c r="A12" s="6" t="inlineStr">
        <is>
          <t>Shareholder capital committed</t>
        </is>
      </c>
      <c r="B12" s="38" t="n">
        <v>21</v>
      </c>
      <c r="C12" s="6" t="inlineStr">
        <is>
          <t>€m</t>
        </is>
      </c>
      <c r="D12" s="6" t="inlineStr">
        <is>
          <t>Snapshot p.9</t>
        </is>
      </c>
      <c r="E12" s="6" t="inlineStr">
        <is>
          <t>€15m equity + €6m shareholder loans at 10% simple</t>
        </is>
      </c>
    </row>
    <row r="13">
      <c r="A13" s="6" t="inlineStr">
        <is>
          <t>VAT facility</t>
        </is>
      </c>
      <c r="B13" s="38" t="n">
        <v>13.3</v>
      </c>
      <c r="C13" s="6" t="inlineStr">
        <is>
          <t>€m</t>
        </is>
      </c>
      <c r="D13" s="6" t="inlineStr">
        <is>
          <t>Snapshot p.9</t>
        </is>
      </c>
      <c r="E13" s="6" t="inlineStr">
        <is>
          <t>Construction VAT bridge</t>
        </is>
      </c>
    </row>
    <row r="14">
      <c r="A14" s="6" t="inlineStr">
        <is>
          <t>Venture debt tranche (offered, not committed)</t>
        </is>
      </c>
      <c r="B14" s="38" t="n">
        <v>35</v>
      </c>
      <c r="C14" s="6" t="inlineStr">
        <is>
          <t>€m</t>
        </is>
      </c>
      <c r="D14" s="6" t="inlineStr">
        <is>
          <t>Snapshot p.9</t>
        </is>
      </c>
      <c r="E14" s="6" t="inlineStr">
        <is>
          <t>4% cash + 5% PIK + warrants; 10% blended; offered to an institutional investor (HIIF)</t>
        </is>
      </c>
    </row>
    <row r="15">
      <c r="A15" s="6" t="inlineStr">
        <is>
          <t>Senior facility (Credia Bank term sheet)</t>
        </is>
      </c>
      <c r="B15" s="38" t="n">
        <v>77.40000000000001</v>
      </c>
      <c r="C15" s="6" t="inlineStr">
        <is>
          <t>€m</t>
        </is>
      </c>
      <c r="D15" s="6" t="inlineStr">
        <is>
          <t>Snapshot p.9; Credia LOI thread Aug 2026</t>
        </is>
      </c>
      <c r="E15" s="6" t="inlineStr">
        <is>
          <t>Sized at 1.5x DSCR; indicative 6.5% p.a., 4+10y, 1.3x average DSCR; credit approval on firm EPC price</t>
        </is>
      </c>
    </row>
    <row r="16">
      <c r="A16" s="6" t="inlineStr">
        <is>
          <t>EIB Venture Debt</t>
        </is>
      </c>
      <c r="B16" s="6" t="inlineStr">
        <is>
          <t>In process</t>
        </is>
      </c>
      <c r="C16" s="6" t="inlineStr"/>
      <c r="D16" s="6" t="inlineStr">
        <is>
          <t>EIB responses thread 15-09-2026</t>
        </is>
      </c>
      <c r="E16" s="6" t="inlineStr">
        <is>
          <t>Committee discussed project; clarifications requested (Credia CPs, Continental audit letter, Sokolov comparison)</t>
        </is>
      </c>
    </row>
    <row r="17">
      <c r="A17" s="6" t="inlineStr">
        <is>
          <t>2031 revenue (PwC model)</t>
        </is>
      </c>
      <c r="B17" s="38" t="n">
        <v>36.1</v>
      </c>
      <c r="C17" s="6" t="inlineStr">
        <is>
          <t>€m</t>
        </is>
      </c>
      <c r="D17" s="6" t="inlineStr">
        <is>
          <t>Snapshot p.7</t>
        </is>
      </c>
      <c r="E17" s="6" t="inlineStr">
        <is>
          <t>rCB €1,500/t, TPO €845/t, steel €250/t, gate fee €100/t, carbon €25/t</t>
        </is>
      </c>
    </row>
    <row r="18">
      <c r="A18" s="6" t="inlineStr">
        <is>
          <t>2031 EBITDA (PwC model)</t>
        </is>
      </c>
      <c r="B18" s="38" t="n">
        <v>21.9</v>
      </c>
      <c r="C18" s="6" t="inlineStr">
        <is>
          <t>€m</t>
        </is>
      </c>
      <c r="D18" s="6" t="inlineStr">
        <is>
          <t>Snapshot p.7</t>
        </is>
      </c>
      <c r="E18" s="6" t="inlineStr">
        <is>
          <t>€489 EBITDA per tonne</t>
        </is>
      </c>
    </row>
    <row r="19">
      <c r="A19" s="6" t="inlineStr">
        <is>
          <t>Gate fee contracted today</t>
        </is>
      </c>
      <c r="B19" s="38" t="n">
        <v>62</v>
      </c>
      <c r="C19" s="6" t="inlineStr">
        <is>
          <t>€/t</t>
        </is>
      </c>
      <c r="D19" s="6" t="inlineStr">
        <is>
          <t>PMO MoM 03-09-2026</t>
        </is>
      </c>
      <c r="E19" s="6" t="inlineStr">
        <is>
          <t>On 11ktpa only vs €100/t on 45ktpa in the model - the swing item</t>
        </is>
      </c>
    </row>
    <row r="20">
      <c r="A20" s="6" t="inlineStr">
        <is>
          <t>FID target</t>
        </is>
      </c>
      <c r="B20" s="6" t="inlineStr">
        <is>
          <t>31-12-2026 (PMO: not feasible; controlled reset proposed)</t>
        </is>
      </c>
      <c r="C20" s="6" t="inlineStr"/>
      <c r="D20" s="6" t="inlineStr">
        <is>
          <t>PMO MoM 03-09-2026</t>
        </is>
      </c>
      <c r="E20" s="6" t="inlineStr">
        <is>
          <t>Firm EPC offer 31-10-2026; ECI to 18-11-2026</t>
        </is>
      </c>
    </row>
    <row r="21">
      <c r="A21" s="6" t="inlineStr">
        <is>
          <t>Sub-fund / vehicle</t>
        </is>
      </c>
      <c r="B21" s="6" t="inlineStr">
        <is>
          <t>CPEF I Curity Ltd - holds 33.75% of Curity Pharma S.A.</t>
        </is>
      </c>
      <c r="C21" s="6" t="inlineStr"/>
      <c r="D21" s="6" t="inlineStr">
        <is>
          <t>Investor Pack Q2 2026</t>
        </is>
      </c>
      <c r="E21" s="6" t="inlineStr"/>
    </row>
    <row r="22">
      <c r="A22" s="6" t="inlineStr">
        <is>
          <t>Current instrument (CPEF)</t>
        </is>
      </c>
      <c r="B22" s="6" t="inlineStr">
        <is>
          <t>8% CPEF I Curity Note, 48 months, up to €435k, min €10k</t>
        </is>
      </c>
      <c r="C22" s="6" t="inlineStr"/>
      <c r="D22" s="6" t="inlineStr">
        <is>
          <t>Note term sheet 2026</t>
        </is>
      </c>
      <c r="E22" s="6" t="inlineStr">
        <is>
          <t>Back-to-back to Curity convertible loan; conversion fallback at €22.2m valuation (~1.96%)</t>
        </is>
      </c>
    </row>
    <row r="23">
      <c r="A23" s="6" t="inlineStr">
        <is>
          <t>Curity Pharma last-marked equity value</t>
        </is>
      </c>
      <c r="B23" s="38" t="n">
        <v>22.2</v>
      </c>
      <c r="C23" s="6" t="inlineStr">
        <is>
          <t>€m</t>
        </is>
      </c>
      <c r="D23" s="6" t="inlineStr">
        <is>
          <t>Capital increase 2025-26</t>
        </is>
      </c>
      <c r="E23" s="6" t="inlineStr">
        <is>
          <t>Facility €14m; EOF GMP licence; Larissa; Galenica distribution from Oct 2026</t>
        </is>
      </c>
    </row>
    <row r="24">
      <c r="A24" s="6" t="inlineStr">
        <is>
          <t>Curity stressed plan (Meerkat FY2023)</t>
        </is>
      </c>
      <c r="B24" s="6" t="inlineStr">
        <is>
          <t>3.5m g at €3.00/g -&gt; revenue €10.5m, EBITDA c.€5.3m</t>
        </is>
      </c>
      <c r="C24" s="6" t="inlineStr"/>
      <c r="D24" s="6" t="inlineStr">
        <is>
          <t>Meerkat valuation 31-12-2023, App. IV</t>
        </is>
      </c>
      <c r="E24" s="6" t="inlineStr">
        <is>
          <t>Base case €4.85/g -&gt; €24.8m sales, €18.8m EBITDA (Sponsor figures, not diligenced)</t>
        </is>
      </c>
    </row>
    <row r="25">
      <c r="A25" s="6" t="inlineStr">
        <is>
          <t>Curity existing bank debt (plan)</t>
        </is>
      </c>
      <c r="B25" s="38" t="n">
        <v>5.57</v>
      </c>
      <c r="C25" s="6" t="inlineStr">
        <is>
          <t>€m</t>
        </is>
      </c>
      <c r="D25" s="6" t="inlineStr">
        <is>
          <t>Meerkat valuation 31-12-2023</t>
        </is>
      </c>
      <c r="E25" s="6" t="inlineStr">
        <is>
          <t>Greek commercial bank, 6-8y; plus €2.8m grant bridge</t>
        </is>
      </c>
    </row>
    <row r="26">
      <c r="A26" s="6" t="inlineStr">
        <is>
          <t>Platform raise (IVP)</t>
        </is>
      </c>
      <c r="B26" s="38" t="n">
        <v>88</v>
      </c>
      <c r="C26" s="6" t="inlineStr">
        <is>
          <t>€m</t>
        </is>
      </c>
      <c r="D26" s="6" t="inlineStr">
        <is>
          <t>Investor Pack Q2 2026</t>
        </is>
      </c>
      <c r="E26" s="6" t="inlineStr">
        <is>
          <t>4 assets, €410m platform capital, 21.8% / 29.5% blended gross IRR</t>
        </is>
      </c>
    </row>
    <row r="27">
      <c r="A27" s="6" t="inlineStr">
        <is>
          <t>PE Fund coupon</t>
        </is>
      </c>
      <c r="B27" s="6" t="inlineStr">
        <is>
          <t>8% p.a. net, paid since 2022</t>
        </is>
      </c>
      <c r="C27" s="6" t="inlineStr"/>
      <c r="D27" s="6" t="inlineStr">
        <is>
          <t>Investor Pack Q2 2026</t>
        </is>
      </c>
      <c r="E27" s="6" t="inlineStr">
        <is>
          <t>Internal note Aug 2025: c.€3m needed for 2027-28 opex and coupon - DD challenge (see memo)</t>
        </is>
      </c>
    </row>
  </sheetData>
  <pageMargins left="0.75" right="0.75" top="1" bottom="1" header="0.5" footer="0.5"/>
</worksheet>
</file>

<file path=xl/worksheets/sheet15.xml><?xml version="1.0" encoding="utf-8"?>
<worksheet xmlns="http://schemas.openxmlformats.org/spreadsheetml/2006/main">
  <sheetPr>
    <tabColor rgb="007F7F7F"/>
    <outlinePr summaryBelow="1" summaryRight="1"/>
    <pageSetUpPr/>
  </sheetPr>
  <dimension ref="A1:F52"/>
  <sheetViews>
    <sheetView showGridLines="0" workbookViewId="0">
      <selection activeCell="A1" sqref="A1"/>
    </sheetView>
  </sheetViews>
  <sheetFormatPr baseColWidth="8" defaultRowHeight="15"/>
  <cols>
    <col width="6" customWidth="1" min="1" max="1"/>
    <col width="50" customWidth="1" min="2" max="2"/>
    <col width="26" customWidth="1" min="3" max="3"/>
    <col width="12" customWidth="1" min="4" max="4"/>
    <col width="70" customWidth="1" min="5" max="5"/>
    <col width="40" customWidth="1" min="6" max="6"/>
  </cols>
  <sheetData>
    <row r="1">
      <c r="A1" s="1" t="inlineStr">
        <is>
          <t>Sources</t>
        </is>
      </c>
    </row>
    <row r="2">
      <c r="A2" s="2" t="inlineStr">
        <is>
          <t>Every external figure in this workbook traces to one of these; internal figures trace to the Sponsor documents named on the Raise_Parameters tab</t>
        </is>
      </c>
    </row>
    <row r="4" ht="30" customHeight="1">
      <c r="A4" s="5" t="inlineStr">
        <is>
          <t>#</t>
        </is>
      </c>
      <c r="B4" s="5" t="inlineStr">
        <is>
          <t>Source</t>
        </is>
      </c>
      <c r="C4" s="5" t="inlineStr">
        <is>
          <t>Publisher / type</t>
        </is>
      </c>
      <c r="D4" s="5" t="inlineStr">
        <is>
          <t>Date</t>
        </is>
      </c>
      <c r="E4" s="5" t="inlineStr">
        <is>
          <t>URL</t>
        </is>
      </c>
      <c r="F4" s="5" t="inlineStr">
        <is>
          <t>Used for</t>
        </is>
      </c>
    </row>
    <row r="5">
      <c r="A5" s="6" t="n">
        <v>1</v>
      </c>
      <c r="B5" s="6" t="inlineStr">
        <is>
          <t>Cascade Debt - Private Debt and Alternative Credit Investors in Europe (2026 Europe Private ABF Investor Market Map)</t>
        </is>
      </c>
      <c r="C5" s="6" t="inlineStr">
        <is>
          <t>Cascade Debt</t>
        </is>
      </c>
      <c r="D5" s="6" t="inlineStr">
        <is>
          <t>2026</t>
        </is>
      </c>
      <c r="E5" s="14" t="inlineStr">
        <is>
          <t>https://www.cascadedebt.com/insights/private-debt-and-alternative-credit-investors-in-europe</t>
        </is>
      </c>
      <c r="F5" s="6" t="inlineStr">
        <is>
          <t>Cascade_Map_2026 tab (map image supplied by user; page itself blocked from this environment)</t>
        </is>
      </c>
    </row>
    <row r="6">
      <c r="A6" s="6" t="n">
        <v>2</v>
      </c>
      <c r="B6" s="6" t="inlineStr">
        <is>
          <t>Europe grows share of private credit fundraising in 2025</t>
        </is>
      </c>
      <c r="C6" s="6" t="inlineStr">
        <is>
          <t>Alternative Credit Investor</t>
        </is>
      </c>
      <c r="D6" s="6" t="inlineStr">
        <is>
          <t>16-12-2025</t>
        </is>
      </c>
      <c r="E6" s="14" t="inlineStr">
        <is>
          <t>https://alternativecreditinvestor.com/2025/12/16/europe-grows-share-of-private-credit-fundraising-in-2025/</t>
        </is>
      </c>
      <c r="F6" s="6" t="inlineStr">
        <is>
          <t>Market_Overview</t>
        </is>
      </c>
    </row>
    <row r="7">
      <c r="A7" s="6" t="n">
        <v>3</v>
      </c>
      <c r="B7" s="6" t="inlineStr">
        <is>
          <t>Record European private debt fundraising signals shift in global capital allocation</t>
        </is>
      </c>
      <c r="C7" s="6" t="inlineStr">
        <is>
          <t>PitchBook</t>
        </is>
      </c>
      <c r="D7" s="6" t="inlineStr">
        <is>
          <t>2026</t>
        </is>
      </c>
      <c r="E7" s="14" t="inlineStr">
        <is>
          <t>https://pitchbook.com/news/articles/record-european-private-debt-fundraising-signals-shift-in-global-capital-allocation</t>
        </is>
      </c>
      <c r="F7" s="6" t="inlineStr">
        <is>
          <t>Market_Overview</t>
        </is>
      </c>
    </row>
    <row r="8">
      <c r="A8" s="6" t="n">
        <v>4</v>
      </c>
      <c r="B8" s="6" t="inlineStr">
        <is>
          <t>All eyes on Europe as cracks emerge in private credit</t>
        </is>
      </c>
      <c r="C8" s="6" t="inlineStr">
        <is>
          <t>S&amp;P Global / With Intelligence</t>
        </is>
      </c>
      <c r="D8" s="6" t="inlineStr">
        <is>
          <t>2026</t>
        </is>
      </c>
      <c r="E8" s="14" t="inlineStr">
        <is>
          <t>https://www.spglobal.com/en/press/press-release/all-eyes-on-europe-as-cracks-emerge-in-private-credit</t>
        </is>
      </c>
      <c r="F8" s="6" t="inlineStr">
        <is>
          <t>Market_Overview</t>
        </is>
      </c>
    </row>
    <row r="9">
      <c r="A9" s="6" t="n">
        <v>5</v>
      </c>
      <c r="B9" s="6" t="inlineStr">
        <is>
          <t>European direct lending hits record despite Q2 dip</t>
        </is>
      </c>
      <c r="C9" s="6" t="inlineStr">
        <is>
          <t>Alternative Credit Investor</t>
        </is>
      </c>
      <c r="D9" s="6" t="inlineStr">
        <is>
          <t>25-08-2026</t>
        </is>
      </c>
      <c r="E9" s="14" t="inlineStr">
        <is>
          <t>https://alternativecreditinvestor.com/2026/08/25/european-direct-lending-hits-record-despite-q2-dip/</t>
        </is>
      </c>
      <c r="F9" s="6" t="inlineStr">
        <is>
          <t>Market_Overview</t>
        </is>
      </c>
    </row>
    <row r="10">
      <c r="A10" s="6" t="n">
        <v>6</v>
      </c>
      <c r="B10" s="6" t="inlineStr">
        <is>
          <t>Private Debt Deal Tracker (Autumn 2025)</t>
        </is>
      </c>
      <c r="C10" s="6" t="inlineStr">
        <is>
          <t>Deloitte UK</t>
        </is>
      </c>
      <c r="D10" s="6" t="inlineStr">
        <is>
          <t>2025</t>
        </is>
      </c>
      <c r="E10" s="14" t="inlineStr">
        <is>
          <t>https://www.deloitte.com/uk/en/services/consulting-financial/research/private-debt-deal-tracker.html</t>
        </is>
      </c>
      <c r="F10" s="6" t="inlineStr">
        <is>
          <t>Market_Overview</t>
        </is>
      </c>
    </row>
    <row r="11">
      <c r="A11" s="6" t="n">
        <v>7</v>
      </c>
      <c r="B11" s="6" t="inlineStr">
        <is>
          <t>European Private Market Update Q2 2026</t>
        </is>
      </c>
      <c r="C11" s="6" t="inlineStr">
        <is>
          <t>Valuation Research Corp</t>
        </is>
      </c>
      <c r="D11" s="6" t="inlineStr">
        <is>
          <t>2026</t>
        </is>
      </c>
      <c r="E11" s="14" t="inlineStr">
        <is>
          <t>https://www.valuationresearch.com/insights/european-private-market-update-q2-2026/</t>
        </is>
      </c>
      <c r="F11" s="6" t="inlineStr">
        <is>
          <t>Pricing</t>
        </is>
      </c>
    </row>
    <row r="12">
      <c r="A12" s="6" t="n">
        <v>8</v>
      </c>
      <c r="B12" s="6" t="inlineStr">
        <is>
          <t>2025 Annual Global Private Debt Report</t>
        </is>
      </c>
      <c r="C12" s="6" t="inlineStr">
        <is>
          <t>PitchBook</t>
        </is>
      </c>
      <c r="D12" s="6" t="inlineStr">
        <is>
          <t>2026</t>
        </is>
      </c>
      <c r="E12" s="14" t="inlineStr">
        <is>
          <t>https://pitchbook.com/news/reports/2025-annual-global-private-debt-report</t>
        </is>
      </c>
      <c r="F12" s="6" t="inlineStr">
        <is>
          <t>Concentration</t>
        </is>
      </c>
    </row>
    <row r="13">
      <c r="A13" s="6" t="n">
        <v>9</v>
      </c>
      <c r="B13" s="6" t="inlineStr">
        <is>
          <t>Private Credit Outlook 2026: Market Faces First Big Test</t>
        </is>
      </c>
      <c r="C13" s="6" t="inlineStr">
        <is>
          <t>With Intelligence</t>
        </is>
      </c>
      <c r="D13" s="6" t="inlineStr">
        <is>
          <t>2026</t>
        </is>
      </c>
      <c r="E13" s="14" t="inlineStr">
        <is>
          <t>https://www.withintelligence.com/insights/private-credit-outlook-2026/</t>
        </is>
      </c>
      <c r="F13" s="6" t="inlineStr">
        <is>
          <t>Market_Overview</t>
        </is>
      </c>
    </row>
    <row r="14">
      <c r="A14" s="6" t="n">
        <v>10</v>
      </c>
      <c r="B14" s="6" t="inlineStr">
        <is>
          <t>Private credit - investors are turning to Europe</t>
        </is>
      </c>
      <c r="C14" s="6" t="inlineStr">
        <is>
          <t>Allianz Global Investors</t>
        </is>
      </c>
      <c r="D14" s="6" t="inlineStr">
        <is>
          <t>2026</t>
        </is>
      </c>
      <c r="E14" s="14" t="inlineStr">
        <is>
          <t>https://www.allianzgi.com/en/insights/private-credit-investors-are-turning-to-Europe</t>
        </is>
      </c>
      <c r="F14" s="6" t="inlineStr">
        <is>
          <t>AUM</t>
        </is>
      </c>
    </row>
    <row r="15">
      <c r="A15" s="6" t="n">
        <v>11</v>
      </c>
      <c r="B15" s="6" t="inlineStr">
        <is>
          <t>ECB Financial Stability Review May 2026 - special feature on private credit</t>
        </is>
      </c>
      <c r="C15" s="6" t="inlineStr">
        <is>
          <t>ECB</t>
        </is>
      </c>
      <c r="D15" s="6" t="inlineStr">
        <is>
          <t>May 2026</t>
        </is>
      </c>
      <c r="E15" s="14" t="inlineStr">
        <is>
          <t>https://www.ecb.europa.eu/press/financial-stability-publications/fsr/special/html/ecb.fsrart202605_04~3f2135af91.en.html</t>
        </is>
      </c>
      <c r="F15" s="6" t="inlineStr">
        <is>
          <t>LP base</t>
        </is>
      </c>
    </row>
    <row r="16">
      <c r="A16" s="6" t="n">
        <v>12</v>
      </c>
      <c r="B16" s="6" t="inlineStr">
        <is>
          <t>ECB monetary policy decision 11 June 2026</t>
        </is>
      </c>
      <c r="C16" s="6" t="inlineStr">
        <is>
          <t>ECB</t>
        </is>
      </c>
      <c r="D16" s="6" t="inlineStr">
        <is>
          <t>11-06-2026</t>
        </is>
      </c>
      <c r="E16" s="14" t="inlineStr">
        <is>
          <t>https://www.ecb.europa.eu/press/pr/date/2026/html/ecb.mp260611~4d41bd5e83.en.html</t>
        </is>
      </c>
      <c r="F16" s="6" t="inlineStr">
        <is>
          <t>Rates</t>
        </is>
      </c>
    </row>
    <row r="17">
      <c r="A17" s="6" t="n">
        <v>13</v>
      </c>
      <c r="B17" s="6" t="inlineStr">
        <is>
          <t>AIFMD II implementation - the final countdown</t>
        </is>
      </c>
      <c r="C17" s="6" t="inlineStr">
        <is>
          <t>Jones Day</t>
        </is>
      </c>
      <c r="D17" s="6" t="inlineStr">
        <is>
          <t>Dec 2025</t>
        </is>
      </c>
      <c r="E17" s="14" t="inlineStr">
        <is>
          <t>https://www.jonesday.com/en/insights/2025/12/aifmd-ii-implementation-the-final-countdown</t>
        </is>
      </c>
      <c r="F17" s="6" t="inlineStr">
        <is>
          <t>Regulation</t>
        </is>
      </c>
    </row>
    <row r="18">
      <c r="A18" s="6" t="n">
        <v>14</v>
      </c>
      <c r="B18" s="6" t="inlineStr">
        <is>
          <t>AIFMD II in Cyprus - supervision ahead of legislation</t>
        </is>
      </c>
      <c r="C18" s="6" t="inlineStr">
        <is>
          <t>LCK Financial Services</t>
        </is>
      </c>
      <c r="D18" s="6" t="inlineStr">
        <is>
          <t>2026</t>
        </is>
      </c>
      <c r="E18" s="14" t="inlineStr">
        <is>
          <t>https://www.lckfs.com/post/aifmd-ii-in-cyprus-supervision-ahead-of-legislation</t>
        </is>
      </c>
      <c r="F18" s="6" t="inlineStr">
        <is>
          <t>Regulation</t>
        </is>
      </c>
    </row>
    <row r="19">
      <c r="A19" s="6" t="n">
        <v>15</v>
      </c>
      <c r="B19" s="6" t="inlineStr">
        <is>
          <t>Investment Funds 2026 - Cyprus</t>
        </is>
      </c>
      <c r="C19" s="6" t="inlineStr">
        <is>
          <t>Chambers Practice Guides</t>
        </is>
      </c>
      <c r="D19" s="6" t="inlineStr">
        <is>
          <t>2026</t>
        </is>
      </c>
      <c r="E19" s="14" t="inlineStr">
        <is>
          <t>https://practiceguides.chambers.com/practice-guides/investment-funds-2026/cyprus</t>
        </is>
      </c>
      <c r="F19" s="6" t="inlineStr">
        <is>
          <t>Cyprus RAIF</t>
        </is>
      </c>
    </row>
    <row r="20">
      <c r="A20" s="6" t="n">
        <v>16</v>
      </c>
      <c r="B20" s="6" t="inlineStr">
        <is>
          <t>Private Credit 2026 - Greece trends and developments</t>
        </is>
      </c>
      <c r="C20" s="6" t="inlineStr">
        <is>
          <t>Chambers Practice Guides</t>
        </is>
      </c>
      <c r="D20" s="6" t="inlineStr">
        <is>
          <t>2026</t>
        </is>
      </c>
      <c r="E20" s="14" t="inlineStr">
        <is>
          <t>https://practiceguides.chambers.com/practice-guides/private-credit-2026/greece/trends-and-developments</t>
        </is>
      </c>
      <c r="F20" s="6" t="inlineStr">
        <is>
          <t>Greece</t>
        </is>
      </c>
    </row>
    <row r="21">
      <c r="A21" s="6" t="n">
        <v>17</v>
      </c>
      <c r="B21" s="6" t="inlineStr">
        <is>
          <t>ELTIF Study 2026</t>
        </is>
      </c>
      <c r="C21" s="6" t="inlineStr">
        <is>
          <t>Scope Explorer</t>
        </is>
      </c>
      <c r="D21" s="6" t="inlineStr">
        <is>
          <t>2026</t>
        </is>
      </c>
      <c r="E21" s="14" t="inlineStr">
        <is>
          <t>https://www.scopeexplorer.com/en/reports/eltif-study-2026-market-overview-and-outlook/236</t>
        </is>
      </c>
      <c r="F21" s="6" t="inlineStr">
        <is>
          <t>ELTIF</t>
        </is>
      </c>
    </row>
    <row r="22">
      <c r="A22" s="6" t="n">
        <v>18</v>
      </c>
      <c r="B22" s="6" t="inlineStr">
        <is>
          <t>European Fund Finance Market Update 2026</t>
        </is>
      </c>
      <c r="C22" s="6" t="inlineStr">
        <is>
          <t>Maples</t>
        </is>
      </c>
      <c r="D22" s="6" t="inlineStr">
        <is>
          <t>2026</t>
        </is>
      </c>
      <c r="E22" s="14" t="inlineStr">
        <is>
          <t>https://maples.com/knowledge/european-fund-finance-market-update-2026</t>
        </is>
      </c>
      <c r="F22" s="6" t="inlineStr">
        <is>
          <t>Fund finance</t>
        </is>
      </c>
    </row>
    <row r="23">
      <c r="A23" s="6" t="n">
        <v>19</v>
      </c>
      <c r="B23" s="6" t="inlineStr">
        <is>
          <t>Greece gets record-high EIB Group financing of €3.5 billion in 2025</t>
        </is>
      </c>
      <c r="C23" s="6" t="inlineStr">
        <is>
          <t>EIB</t>
        </is>
      </c>
      <c r="D23" s="6" t="inlineStr">
        <is>
          <t>2026</t>
        </is>
      </c>
      <c r="E23" s="14" t="inlineStr">
        <is>
          <t>https://www.eib.org/en/press/all/2026-041-greece-gets-record-high-eib-group-financing-of-eur3-5-billion-in-2025-with-focus-on-climate-action-water-networks-business-growth-and-raw-materials</t>
        </is>
      </c>
      <c r="F23" s="6" t="inlineStr">
        <is>
          <t>DFI</t>
        </is>
      </c>
    </row>
    <row r="24">
      <c r="A24" s="6" t="n">
        <v>20</v>
      </c>
      <c r="B24" s="6" t="inlineStr">
        <is>
          <t>EBRD mandate for new operations in Greece to reach its end</t>
        </is>
      </c>
      <c r="C24" s="6" t="inlineStr">
        <is>
          <t>EBRD</t>
        </is>
      </c>
      <c r="D24" s="6" t="inlineStr">
        <is>
          <t>2025</t>
        </is>
      </c>
      <c r="E24" s="14" t="inlineStr">
        <is>
          <t>https://www.ebrd.com/home/news-and-events/news/2025/ebrd-mandate-for-new-operations-in-greece-to-reach-its-end.html</t>
        </is>
      </c>
      <c r="F24" s="6" t="inlineStr">
        <is>
          <t>DFI</t>
        </is>
      </c>
    </row>
    <row r="25">
      <c r="A25" s="6" t="n">
        <v>21</v>
      </c>
      <c r="B25" s="6" t="inlineStr">
        <is>
          <t>EIF and Eurobank join forces to channel €62.5 million to Cypriot SMEs</t>
        </is>
      </c>
      <c r="C25" s="6" t="inlineStr">
        <is>
          <t>EIF</t>
        </is>
      </c>
      <c r="D25" s="6" t="inlineStr">
        <is>
          <t>2025</t>
        </is>
      </c>
      <c r="E25" s="14" t="inlineStr">
        <is>
          <t>https://www.eib.org/en/press/all/2025-343-eif-and-eurobank-join-forces-to-channel-eur62-5-million-in-new-financing-to-cypriot-smes-and-start-ups</t>
        </is>
      </c>
      <c r="F25" s="6" t="inlineStr">
        <is>
          <t>Cyprus banks</t>
        </is>
      </c>
    </row>
    <row r="26">
      <c r="A26" s="6" t="n">
        <v>22</v>
      </c>
      <c r="B26" s="6" t="inlineStr">
        <is>
          <t>Innovation Fund project fiche 101250821 (Thermolysis)</t>
        </is>
      </c>
      <c r="C26" s="6" t="inlineStr">
        <is>
          <t>CINEA</t>
        </is>
      </c>
      <c r="D26" s="6" t="inlineStr">
        <is>
          <t>2026</t>
        </is>
      </c>
      <c r="E26" s="14" t="inlineStr">
        <is>
          <t>https://ec.europa.eu/assets/cinea/project_fiches/innovation_fund/101250821.pdf</t>
        </is>
      </c>
      <c r="F26" s="6" t="inlineStr">
        <is>
          <t>IPL grant</t>
        </is>
      </c>
    </row>
    <row r="27">
      <c r="A27" s="6" t="n">
        <v>23</v>
      </c>
      <c r="B27" s="6" t="inlineStr">
        <is>
          <t>Pyrum: €29.4m EU funding for major project in Greece</t>
        </is>
      </c>
      <c r="C27" s="6" t="inlineStr">
        <is>
          <t>Pyrum Innovations AG</t>
        </is>
      </c>
      <c r="D27" s="6" t="inlineStr">
        <is>
          <t>10-11-2025</t>
        </is>
      </c>
      <c r="E27" s="14" t="inlineStr">
        <is>
          <t>https://www.pyrum.net/en/corporate-news/pyrum-innovations-ag-milestone-for-europes-circular-economy-294-mio-e-eu-funding-for-major-project-in-greece/</t>
        </is>
      </c>
      <c r="F27" s="6" t="inlineStr">
        <is>
          <t>IPL</t>
        </is>
      </c>
    </row>
    <row r="28">
      <c r="A28" s="6" t="n">
        <v>24</v>
      </c>
      <c r="B28" s="6" t="inlineStr">
        <is>
          <t>Novo Holdings and A.P. Moller Holding back Circtec in a €150m financing round</t>
        </is>
      </c>
      <c r="C28" s="6" t="inlineStr">
        <is>
          <t>A.P. Moller Holding</t>
        </is>
      </c>
      <c r="D28" s="6" t="inlineStr">
        <is>
          <t>May 2024</t>
        </is>
      </c>
      <c r="E28" s="14" t="inlineStr">
        <is>
          <t>https://apmoller.com/news/novo-holdings-and-a-p-moller-holding-back-circtec-a-leader-in-pyrolysis-for-sustainable-end-of-life-tyre-recycling-in-a-e150-million-financing-round/</t>
        </is>
      </c>
      <c r="F28" s="6" t="inlineStr">
        <is>
          <t>Comparable</t>
        </is>
      </c>
    </row>
    <row r="29">
      <c r="A29" s="6" t="n">
        <v>25</v>
      </c>
      <c r="B29" s="6" t="inlineStr">
        <is>
          <t>Circtec - bp offtake and debt</t>
        </is>
      </c>
      <c r="C29" s="6" t="inlineStr">
        <is>
          <t>Circtec</t>
        </is>
      </c>
      <c r="D29" s="6" t="inlineStr">
        <is>
          <t>May 2024</t>
        </is>
      </c>
      <c r="E29" s="14" t="inlineStr">
        <is>
          <t>https://www.circtec.com/wp-content/uploads/2024/05/2024-May-Circtec-bp-press-release-copy-for-website.pdf</t>
        </is>
      </c>
      <c r="F29" s="6" t="inlineStr">
        <is>
          <t>Comparable</t>
        </is>
      </c>
    </row>
    <row r="30">
      <c r="A30" s="6" t="n">
        <v>26</v>
      </c>
      <c r="B30" s="6" t="inlineStr">
        <is>
          <t>Tiger Infrastructure Partners investment in Bolder Industries</t>
        </is>
      </c>
      <c r="C30" s="6" t="inlineStr">
        <is>
          <t>PR Newswire</t>
        </is>
      </c>
      <c r="D30" s="6" t="inlineStr">
        <is>
          <t>Feb 2025</t>
        </is>
      </c>
      <c r="E30" s="14" t="inlineStr">
        <is>
          <t>https://www.prnewswire.com/news-releases/tiger-infrastructure-partners-completes-transformational-growth-investment-in-bolder-industries-a-circular-economy-infrastructure-platform-converting-end-of-life-tires-into-sustainable-materials-302372336.html</t>
        </is>
      </c>
      <c r="F30" s="6" t="inlineStr">
        <is>
          <t>Comparable</t>
        </is>
      </c>
    </row>
    <row r="31">
      <c r="A31" s="6" t="n">
        <v>27</v>
      </c>
      <c r="B31" s="6" t="inlineStr">
        <is>
          <t>Xycle secures financing for commercial-scale plastics recycling plant (Polestar senior debt)</t>
        </is>
      </c>
      <c r="C31" s="6" t="inlineStr">
        <is>
          <t>Recycling Today</t>
        </is>
      </c>
      <c r="D31" s="6" t="inlineStr">
        <is>
          <t>2025</t>
        </is>
      </c>
      <c r="E31" s="14" t="inlineStr">
        <is>
          <t>https://www.recyclingtoday.com/news/xycle-secures-financing-for-commercial-scale-plastics-recycling-plant/</t>
        </is>
      </c>
      <c r="F31" s="6" t="inlineStr">
        <is>
          <t>Comparable</t>
        </is>
      </c>
    </row>
    <row r="32">
      <c r="A32" s="6" t="n">
        <v>28</v>
      </c>
      <c r="B32" s="6" t="inlineStr">
        <is>
          <t>Infiniteria moves to block Enviro reorganisation and claims €84m</t>
        </is>
      </c>
      <c r="C32" s="6" t="inlineStr">
        <is>
          <t>Tyre and Rubber Recycling</t>
        </is>
      </c>
      <c r="D32" s="6" t="inlineStr">
        <is>
          <t>2026</t>
        </is>
      </c>
      <c r="E32" s="14" t="inlineStr">
        <is>
          <t>https://www.tyreandrubberrecycling.com/articles/business-news/infiniteria-moves-to-block-scandinavian-enviro-systems-reorganisation-and-claims-e84m</t>
        </is>
      </c>
      <c r="F32" s="6" t="inlineStr">
        <is>
          <t>Bear case</t>
        </is>
      </c>
    </row>
    <row r="33">
      <c r="A33" s="6" t="n">
        <v>29</v>
      </c>
      <c r="B33" s="6" t="inlineStr">
        <is>
          <t>Administrators appointed for Plastic Energy in England</t>
        </is>
      </c>
      <c r="C33" s="6" t="inlineStr">
        <is>
          <t>EUWID</t>
        </is>
      </c>
      <c r="D33" s="6" t="inlineStr">
        <is>
          <t>06-05-2026</t>
        </is>
      </c>
      <c r="E33" s="14" t="inlineStr">
        <is>
          <t>https://www.euwid-recycling.com/news/business/administrators-appointed-for-plastic-energy-in-england-060526/</t>
        </is>
      </c>
      <c r="F33" s="6" t="inlineStr">
        <is>
          <t>Bear case</t>
        </is>
      </c>
    </row>
    <row r="34">
      <c r="A34" s="6" t="n">
        <v>30</v>
      </c>
      <c r="B34" s="6" t="inlineStr">
        <is>
          <t>Viridor proposes shutdown of Quantafuel chemical recycling activities</t>
        </is>
      </c>
      <c r="C34" s="6" t="inlineStr">
        <is>
          <t>EUWID</t>
        </is>
      </c>
      <c r="D34" s="6" t="inlineStr">
        <is>
          <t>13-05-2026</t>
        </is>
      </c>
      <c r="E34" s="14" t="inlineStr">
        <is>
          <t>https://www.euwid-recycling.com/news/business/viridor-proposes-shutdown-of-quantafuel-chemical-recycling-activities-130526/</t>
        </is>
      </c>
      <c r="F34" s="6" t="inlineStr">
        <is>
          <t>Bear case</t>
        </is>
      </c>
    </row>
    <row r="35">
      <c r="A35" s="6" t="n">
        <v>31</v>
      </c>
      <c r="B35" s="6" t="inlineStr">
        <is>
          <t>Pyrum more than doubles 2025 revenue but delays earnings breakeven</t>
        </is>
      </c>
      <c r="C35" s="6" t="inlineStr">
        <is>
          <t>European Rubber Journal</t>
        </is>
      </c>
      <c r="D35" s="6" t="inlineStr">
        <is>
          <t>2026</t>
        </is>
      </c>
      <c r="E35" s="14" t="inlineStr">
        <is>
          <t>https://www.european-rubber-journal.com/article/2099180/pyrum-more-than-doubles-2025-revenue-but-delays-earnings-breakeven</t>
        </is>
      </c>
      <c r="F35" s="6" t="inlineStr">
        <is>
          <t>Licensor risk</t>
        </is>
      </c>
    </row>
    <row r="36">
      <c r="A36" s="6" t="n">
        <v>32</v>
      </c>
      <c r="B36" s="6" t="inlineStr">
        <is>
          <t>Brightmark defaults on Indiana bonds</t>
        </is>
      </c>
      <c r="C36" s="6" t="inlineStr">
        <is>
          <t>Resource Recycling</t>
        </is>
      </c>
      <c r="D36" s="6" t="inlineStr">
        <is>
          <t>19-03-2025</t>
        </is>
      </c>
      <c r="E36" s="14" t="inlineStr">
        <is>
          <t>https://resource-recycling.com/plastics/2025/03/19/brightmark-defaults-on-indiana-bonds-pursues-facility-sale/</t>
        </is>
      </c>
      <c r="F36" s="6" t="inlineStr">
        <is>
          <t>Bear case</t>
        </is>
      </c>
    </row>
    <row r="37">
      <c r="A37" s="6" t="n">
        <v>33</v>
      </c>
      <c r="B37" s="6" t="inlineStr">
        <is>
          <t>Infranity raises €3.2bn for private debt strategies</t>
        </is>
      </c>
      <c r="C37" s="6" t="inlineStr">
        <is>
          <t>Alternative Credit Investor</t>
        </is>
      </c>
      <c r="D37" s="6" t="inlineStr">
        <is>
          <t>18-12-2025</t>
        </is>
      </c>
      <c r="E37" s="14" t="inlineStr">
        <is>
          <t>https://alternativecreditinvestor.com/2025/12/18/infranity-raises-e3-2bn-for-private-debt-strategies/</t>
        </is>
      </c>
      <c r="F37" s="6" t="inlineStr">
        <is>
          <t>Infra debt</t>
        </is>
      </c>
    </row>
    <row r="38">
      <c r="A38" s="6" t="n">
        <v>34</v>
      </c>
      <c r="B38" s="6" t="inlineStr">
        <is>
          <t>Rivage - European Climate Debt Solutions</t>
        </is>
      </c>
      <c r="C38" s="6" t="inlineStr">
        <is>
          <t>Rivage Investment</t>
        </is>
      </c>
      <c r="D38" s="6" t="inlineStr">
        <is>
          <t>2026</t>
        </is>
      </c>
      <c r="E38" s="14" t="inlineStr">
        <is>
          <t>https://www.rivageinvestment.com/en/strategies/european-climate-debt-solutions/</t>
        </is>
      </c>
      <c r="F38" s="6" t="inlineStr">
        <is>
          <t>Infra debt</t>
        </is>
      </c>
    </row>
    <row r="39">
      <c r="A39" s="6" t="n">
        <v>35</v>
      </c>
      <c r="B39" s="6" t="inlineStr">
        <is>
          <t>Eiffel Investment reaches €1.2bn hard cap for Energy Transition III</t>
        </is>
      </c>
      <c r="C39" s="6" t="inlineStr">
        <is>
          <t>IPE Real Assets</t>
        </is>
      </c>
      <c r="D39" s="6" t="inlineStr">
        <is>
          <t>Dec 2025</t>
        </is>
      </c>
      <c r="E39" s="14" t="inlineStr">
        <is>
          <t>https://realassets.ipe.com/news/eiffel-investment-reaches-12bn-hard-cap-for-energy-transition-iii/10134125.article</t>
        </is>
      </c>
      <c r="F39" s="6" t="inlineStr">
        <is>
          <t>Infra debt</t>
        </is>
      </c>
    </row>
    <row r="40">
      <c r="A40" s="6" t="n">
        <v>36</v>
      </c>
      <c r="B40" s="6" t="inlineStr">
        <is>
          <t>Kartesia raises €1.3 billion for latest credit opportunities fund</t>
        </is>
      </c>
      <c r="C40" s="6" t="inlineStr">
        <is>
          <t>Kartesia</t>
        </is>
      </c>
      <c r="D40" s="6" t="inlineStr">
        <is>
          <t>04-07-2025</t>
        </is>
      </c>
      <c r="E40" s="14" t="inlineStr">
        <is>
          <t>https://kartesia.com/news/kartesia-raises-e1-3-billion-for-latest-credit-opportunities-fund/</t>
        </is>
      </c>
      <c r="F40" s="6" t="inlineStr">
        <is>
          <t>Universe</t>
        </is>
      </c>
    </row>
    <row r="41">
      <c r="A41" s="6" t="n">
        <v>37</v>
      </c>
      <c r="B41" s="6" t="inlineStr">
        <is>
          <t>Hayfin announces record close of Direct Lending Fund V</t>
        </is>
      </c>
      <c r="C41" s="6" t="inlineStr">
        <is>
          <t>Hayfin</t>
        </is>
      </c>
      <c r="D41" s="6" t="inlineStr">
        <is>
          <t>Jul 2026</t>
        </is>
      </c>
      <c r="E41" s="14" t="inlineStr">
        <is>
          <t>https://www.hayfin.com/hayfin-announces-record-close-of-direct-lending-fund-v-in-excess-of-e15bn/</t>
        </is>
      </c>
      <c r="F41" s="6" t="inlineStr">
        <is>
          <t>Universe</t>
        </is>
      </c>
    </row>
    <row r="42">
      <c r="A42" s="6" t="n">
        <v>38</v>
      </c>
      <c r="B42" s="6" t="inlineStr">
        <is>
          <t>Tikehau Capital raises €5.2bn for latest European direct lending fund</t>
        </is>
      </c>
      <c r="C42" s="6" t="inlineStr">
        <is>
          <t>Alternative Credit Investor</t>
        </is>
      </c>
      <c r="D42" s="6" t="inlineStr">
        <is>
          <t>24-07-2026</t>
        </is>
      </c>
      <c r="E42" s="14" t="inlineStr">
        <is>
          <t>https://alternativecreditinvestor.com/2026/07/24/tikehau-capital-raises-e5-2bn-for-latest-european-direct-lending-fund/</t>
        </is>
      </c>
      <c r="F42" s="6" t="inlineStr">
        <is>
          <t>Universe</t>
        </is>
      </c>
    </row>
    <row r="43">
      <c r="A43" s="6" t="n">
        <v>39</v>
      </c>
      <c r="B43" s="6" t="inlineStr">
        <is>
          <t>Elikonos 3 first closing €175m</t>
        </is>
      </c>
      <c r="C43" s="6" t="inlineStr">
        <is>
          <t>Elikonos Capital</t>
        </is>
      </c>
      <c r="D43" s="6" t="inlineStr">
        <is>
          <t>2026</t>
        </is>
      </c>
      <c r="E43" s="14" t="inlineStr">
        <is>
          <t>https://elikonos.com/elikonos-3-first-closing-175m/</t>
        </is>
      </c>
      <c r="F43" s="6" t="inlineStr">
        <is>
          <t>Greece</t>
        </is>
      </c>
    </row>
    <row r="44">
      <c r="A44" s="6" t="n">
        <v>40</v>
      </c>
      <c r="B44" s="6" t="inlineStr">
        <is>
          <t>Cannabis investment in Europe 2026</t>
        </is>
      </c>
      <c r="C44" s="6" t="inlineStr">
        <is>
          <t>Cannabis Europa</t>
        </is>
      </c>
      <c r="D44" s="6" t="inlineStr">
        <is>
          <t>2026</t>
        </is>
      </c>
      <c r="E44" s="14" t="inlineStr">
        <is>
          <t>https://cannabis-europa.com/insights/cannabis-investment-europe-2026/</t>
        </is>
      </c>
      <c r="F44" s="6" t="inlineStr">
        <is>
          <t>Cannabis</t>
        </is>
      </c>
    </row>
    <row r="45">
      <c r="A45" s="6" t="n">
        <v>41</v>
      </c>
      <c r="B45" s="6" t="inlineStr">
        <is>
          <t>EU cannabis regulation 2026</t>
        </is>
      </c>
      <c r="C45" s="6" t="inlineStr">
        <is>
          <t>Business of Cannabis</t>
        </is>
      </c>
      <c r="D45" s="6" t="inlineStr">
        <is>
          <t>2026</t>
        </is>
      </c>
      <c r="E45" s="14" t="inlineStr">
        <is>
          <t>https://businessofcannabis.com/eu-cannabis-regulation/</t>
        </is>
      </c>
      <c r="F45" s="6" t="inlineStr">
        <is>
          <t>Cannabis</t>
        </is>
      </c>
    </row>
    <row r="46">
      <c r="A46" s="6" t="n">
        <v>42</v>
      </c>
      <c r="B46" s="6" t="inlineStr">
        <is>
          <t>InterCure secures NIS 22 million private placement led by pharma-focused hedge funds</t>
        </is>
      </c>
      <c r="C46" s="6" t="inlineStr">
        <is>
          <t>GlobeNewswire</t>
        </is>
      </c>
      <c r="D46" s="6" t="inlineStr">
        <is>
          <t>22-06-2026</t>
        </is>
      </c>
      <c r="E46" s="14" t="inlineStr">
        <is>
          <t>https://www.globenewswire.com/news-release/2026/06/22/3315301/0/en/InterCure-Secures-NIS-22-Million-in-Private-Placement-Financing-Led-by-Leading-Pharma-Focused-Hedge-Funds.html</t>
        </is>
      </c>
      <c r="F46" s="6" t="inlineStr">
        <is>
          <t>Cannabis</t>
        </is>
      </c>
    </row>
    <row r="47">
      <c r="A47" s="6" t="n">
        <v>43</v>
      </c>
      <c r="B47" s="6" t="inlineStr">
        <is>
          <t>Cannabis and the UK investor - two years on (POCA)</t>
        </is>
      </c>
      <c r="C47" s="6" t="inlineStr">
        <is>
          <t>Kingsley Napley</t>
        </is>
      </c>
      <c r="D47" s="6" t="inlineStr">
        <is>
          <t>2025</t>
        </is>
      </c>
      <c r="E47" s="14" t="inlineStr">
        <is>
          <t>https://www.kingsleynapley.co.uk/insights/blogs/criminal-law-blog/cannabis-and-the-uk-investor-two-years-on</t>
        </is>
      </c>
      <c r="F47" s="6" t="inlineStr">
        <is>
          <t>Cannabis - UK lenders</t>
        </is>
      </c>
    </row>
    <row r="48">
      <c r="A48" s="6" t="n">
        <v>44</v>
      </c>
      <c r="B48" s="6" t="inlineStr">
        <is>
          <t>Why LPs ignore 95% of cold outreach</t>
        </is>
      </c>
      <c r="C48" s="6" t="inlineStr">
        <is>
          <t>Nathan Beckord (Medium)</t>
        </is>
      </c>
      <c r="D48" s="6" t="inlineStr">
        <is>
          <t>2025</t>
        </is>
      </c>
      <c r="E48" s="14" t="inlineStr">
        <is>
          <t>https://medium.com/@nathanbeckord/why-lps-ignore-95-of-cold-outreach-and-how-to-be-the-5-they-reply-to-66978d490985</t>
        </is>
      </c>
      <c r="F48" s="6" t="inlineStr">
        <is>
          <t>Channel economics</t>
        </is>
      </c>
    </row>
    <row r="49">
      <c r="A49" s="6" t="n">
        <v>45</v>
      </c>
      <c r="B49" s="6" t="inlineStr">
        <is>
          <t>Cold email vs LinkedIn outreach 2026</t>
        </is>
      </c>
      <c r="C49" s="6" t="inlineStr">
        <is>
          <t>getreplies.ai</t>
        </is>
      </c>
      <c r="D49" s="6" t="inlineStr">
        <is>
          <t>2026</t>
        </is>
      </c>
      <c r="E49" s="14" t="inlineStr">
        <is>
          <t>https://getreplies.ai/blog/cold-email-vs-linkedin-outreach-2026/</t>
        </is>
      </c>
      <c r="F49" s="6" t="inlineStr">
        <is>
          <t>Channel economics</t>
        </is>
      </c>
    </row>
    <row r="50">
      <c r="A50" s="6" t="n">
        <v>46</v>
      </c>
      <c r="B50" s="6" t="inlineStr">
        <is>
          <t>Placement agent fees 2026</t>
        </is>
      </c>
      <c r="C50" s="6" t="inlineStr">
        <is>
          <t>Pipeline Road</t>
        </is>
      </c>
      <c r="D50" s="6" t="inlineStr">
        <is>
          <t>2026</t>
        </is>
      </c>
      <c r="E50" s="14" t="inlineStr">
        <is>
          <t>https://pipelineroad.com/blog/placement-agent-fees-2026</t>
        </is>
      </c>
      <c r="F50" s="6" t="inlineStr">
        <is>
          <t>Placement</t>
        </is>
      </c>
    </row>
    <row r="51">
      <c r="A51" s="6" t="n">
        <v>47</v>
      </c>
      <c r="B51" s="6" t="inlineStr">
        <is>
          <t>Threadmark - first-time managers</t>
        </is>
      </c>
      <c r="C51" s="6" t="inlineStr">
        <is>
          <t>Threadmark</t>
        </is>
      </c>
      <c r="D51" s="6" t="inlineStr">
        <is>
          <t>2026</t>
        </is>
      </c>
      <c r="E51" s="14" t="inlineStr">
        <is>
          <t>https://www.threadmark.com/</t>
        </is>
      </c>
      <c r="F51" s="6" t="inlineStr">
        <is>
          <t>Placement</t>
        </is>
      </c>
    </row>
    <row r="52">
      <c r="A52" s="6" t="n">
        <v>48</v>
      </c>
      <c r="B52" s="6" t="inlineStr">
        <is>
          <t>Internal: Thermolysi Project - Company Snapshot Sep 2026 v2; Indicative Term Sheet 11-09-2026; PMO Change of Strategy MoM 03-09-2026; Investor Pack Q2 2026 v4; Credia / EIB / HIIF Outlook threads; investor tracker 03-08-2026; Meerkat Curity valuation FY2023; Fathom calls 23-06-2025 and 20-03-2026</t>
        </is>
      </c>
      <c r="C52" s="6" t="inlineStr">
        <is>
          <t>Impactus records (SharePoint / Outlook / Fathom)</t>
        </is>
      </c>
      <c r="D52" s="6" t="inlineStr">
        <is>
          <t>2025-26</t>
        </is>
      </c>
      <c r="E52" s="6" t="inlineStr">
        <is>
          <t>internal</t>
        </is>
      </c>
      <c r="F52" s="6" t="inlineStr">
        <is>
          <t>Raise_Parameters, Existing_Pipeline, models</t>
        </is>
      </c>
    </row>
  </sheetData>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0" r:id="rId26"/>
    <hyperlink xmlns:r="http://schemas.openxmlformats.org/officeDocument/2006/relationships" ref="E31" r:id="rId27"/>
    <hyperlink xmlns:r="http://schemas.openxmlformats.org/officeDocument/2006/relationships" ref="E32" r:id="rId28"/>
    <hyperlink xmlns:r="http://schemas.openxmlformats.org/officeDocument/2006/relationships" ref="E33" r:id="rId29"/>
    <hyperlink xmlns:r="http://schemas.openxmlformats.org/officeDocument/2006/relationships" ref="E34" r:id="rId30"/>
    <hyperlink xmlns:r="http://schemas.openxmlformats.org/officeDocument/2006/relationships" ref="E35" r:id="rId31"/>
    <hyperlink xmlns:r="http://schemas.openxmlformats.org/officeDocument/2006/relationships" ref="E36" r:id="rId32"/>
    <hyperlink xmlns:r="http://schemas.openxmlformats.org/officeDocument/2006/relationships" ref="E37" r:id="rId33"/>
    <hyperlink xmlns:r="http://schemas.openxmlformats.org/officeDocument/2006/relationships" ref="E38" r:id="rId34"/>
    <hyperlink xmlns:r="http://schemas.openxmlformats.org/officeDocument/2006/relationships" ref="E39" r:id="rId35"/>
    <hyperlink xmlns:r="http://schemas.openxmlformats.org/officeDocument/2006/relationships" ref="E40" r:id="rId36"/>
    <hyperlink xmlns:r="http://schemas.openxmlformats.org/officeDocument/2006/relationships" ref="E41" r:id="rId37"/>
    <hyperlink xmlns:r="http://schemas.openxmlformats.org/officeDocument/2006/relationships" ref="E42" r:id="rId38"/>
    <hyperlink xmlns:r="http://schemas.openxmlformats.org/officeDocument/2006/relationships" ref="E43" r:id="rId39"/>
    <hyperlink xmlns:r="http://schemas.openxmlformats.org/officeDocument/2006/relationships" ref="E44" r:id="rId40"/>
    <hyperlink xmlns:r="http://schemas.openxmlformats.org/officeDocument/2006/relationships" ref="E45" r:id="rId41"/>
    <hyperlink xmlns:r="http://schemas.openxmlformats.org/officeDocument/2006/relationships" ref="E46" r:id="rId42"/>
    <hyperlink xmlns:r="http://schemas.openxmlformats.org/officeDocument/2006/relationships" ref="E47" r:id="rId43"/>
    <hyperlink xmlns:r="http://schemas.openxmlformats.org/officeDocument/2006/relationships" ref="E48" r:id="rId44"/>
    <hyperlink xmlns:r="http://schemas.openxmlformats.org/officeDocument/2006/relationships" ref="E49" r:id="rId45"/>
    <hyperlink xmlns:r="http://schemas.openxmlformats.org/officeDocument/2006/relationships" ref="E50" r:id="rId46"/>
    <hyperlink xmlns:r="http://schemas.openxmlformats.org/officeDocument/2006/relationships" ref="E51" r:id="rId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2026-09-22T05:37:53Z</dcterms:created>
  <dcterms:modified xmlns:dcterms="http://purl.org/dc/terms/" xmlns:xsi="http://www.w3.org/2001/XMLSchema-instance" xsi:type="dcterms:W3CDTF">2026-09-22T05:37:53Z</dcterms:modified>
</cp:coreProperties>
</file>